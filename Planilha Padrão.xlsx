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FESSORES" sheetId="1" r:id="rId5"/>
    <sheet state="visible" name="DISPONIBILIDADE" sheetId="2" r:id="rId6"/>
    <sheet state="visible" name="RESTRIÇÕES" sheetId="3" r:id="rId7"/>
    <sheet state="visible" name="AULAS" sheetId="4" r:id="rId8"/>
    <sheet state="visible" name="IMPRESSÃO PROFESSOR" sheetId="5" r:id="rId9"/>
  </sheets>
  <definedNames>
    <definedName hidden="1" localSheetId="0" name="_xlnm._FilterDatabase">PROFESSORES!$A$2:$F$302</definedName>
    <definedName hidden="1" localSheetId="1" name="_xlnm._FilterDatabase">DISPONIBILIDADE!$A$2:$G$502</definedName>
    <definedName hidden="1" localSheetId="2" name="_xlnm._FilterDatabase">'RESTRIÇÕES'!$A$2:$F$502</definedName>
    <definedName hidden="1" localSheetId="3" name="_xlnm._FilterDatabase">AULAS!$A$2:$M$502</definedName>
  </definedNames>
  <calcPr/>
</workbook>
</file>

<file path=xl/sharedStrings.xml><?xml version="1.0" encoding="utf-8"?>
<sst xmlns="http://schemas.openxmlformats.org/spreadsheetml/2006/main" count="52" uniqueCount="28">
  <si>
    <t>Cadastre cada professor com ID único. Em 'Classes/Alunos que pode atender', separe itens por ';'.</t>
  </si>
  <si>
    <t>Professor ID</t>
  </si>
  <si>
    <t>Professor Nome</t>
  </si>
  <si>
    <t>Ativo</t>
  </si>
  <si>
    <t>Classes/Alunos que pode atender</t>
  </si>
  <si>
    <t>Observações</t>
  </si>
  <si>
    <t>Chave ID|Nome</t>
  </si>
  <si>
    <t>Defina em quais dias, horários e modalidades cada professor pode trabalhar. Use 'Ambas' quando servir para presencial e online.</t>
  </si>
  <si>
    <t>Dia da Semana</t>
  </si>
  <si>
    <t>Hora Início</t>
  </si>
  <si>
    <t>Hora Fim</t>
  </si>
  <si>
    <t>Modalidade</t>
  </si>
  <si>
    <t>Disponível?</t>
  </si>
  <si>
    <t>Use esta aba para bloquear combinações de professor + aluno/turma.</t>
  </si>
  <si>
    <t>Aluno/Turma</t>
  </si>
  <si>
    <t>Tipo de Restrição</t>
  </si>
  <si>
    <t>Motivo</t>
  </si>
  <si>
    <t>Ativa?</t>
  </si>
  <si>
    <t>Escolha o Professor ID. A planilha verifica disponibilidade por horário, modalidade e conflito com outra aula no mesmo horário.</t>
  </si>
  <si>
    <t>Aula ID</t>
  </si>
  <si>
    <t>Data</t>
  </si>
  <si>
    <t>Restrição?</t>
  </si>
  <si>
    <t>Status da Escala</t>
  </si>
  <si>
    <t>Impressão de aulas por professor no dia</t>
  </si>
  <si>
    <t>Preencha a data e o Professor ID. A tabela abaixo mostra apenas as aulas cadastradas para esse professor naquele dia.</t>
  </si>
  <si>
    <t>Nome do Professor</t>
  </si>
  <si>
    <t>Total de aulas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</si>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</sst>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"/>
    <numFmt numFmtId="165" formatCode="dd/mm/yyyy"/>
  </numFmts>
  <fonts count="10">
    <font>
      <sz val="11.0"/>
      <color theme="1"/>
      <name val="Calibri"/>
      <scheme val="minor"/>
    </font>
    <font>
      <b/>
      <color theme="1"/>
      <name val="Calibri"/>
      <scheme val="minor"/>
    </font>
    <font/>
    <font>
      <b/>
      <color rgb="FFFFFFFF"/>
      <name val="Calibri"/>
      <scheme val="minor"/>
    </font>
    <font>
      <sz val="11.0"/>
      <color rgb="FF1D4ED8"/>
      <name val="Calibri"/>
    </font>
    <font>
      <sz val="11.0"/>
      <color theme="1"/>
      <name val="Calibri"/>
    </font>
    <font>
      <color rgb="FF1D4ED8"/>
      <name val="Calibri"/>
      <scheme val="minor"/>
    </font>
    <font>
      <color rgb="FF000000"/>
      <name val="Calibri"/>
      <scheme val="minor"/>
    </font>
    <font>
      <sz val="11.0"/>
      <color rgb="FF15803D"/>
      <name val="Calibri"/>
    </font>
    <font>
      <color rgb="FF15803D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EF3C7"/>
        <bgColor rgb="FFFEF3C7"/>
      </patternFill>
    </fill>
    <fill>
      <patternFill patternType="solid">
        <fgColor rgb="FF1F2937"/>
        <bgColor rgb="FF1F2937"/>
      </patternFill>
    </fill>
    <fill>
      <patternFill patternType="solid">
        <fgColor rgb="FFF8FAFC"/>
        <bgColor rgb="FFF8FAFC"/>
      </patternFill>
    </fill>
    <fill>
      <patternFill patternType="solid">
        <fgColor rgb="FFDCFCE7"/>
        <bgColor rgb="FFDCFCE7"/>
      </patternFill>
    </fill>
    <fill>
      <patternFill patternType="solid">
        <fgColor rgb="FF475569"/>
        <bgColor rgb="FF47556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 style="thin">
        <color rgb="FFCBD5E1"/>
      </top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4" fillId="4" fontId="4" numFmtId="0" xfId="0" applyAlignment="1" applyBorder="1" applyFill="1" applyFont="1">
      <alignment vertical="bottom"/>
    </xf>
    <xf borderId="4" fillId="4" fontId="5" numFmtId="0" xfId="0" applyAlignment="1" applyBorder="1" applyFont="1">
      <alignment vertical="bottom"/>
    </xf>
    <xf borderId="4" fillId="4" fontId="4" numFmtId="0" xfId="0" applyAlignment="1" applyBorder="1" applyFont="1">
      <alignment readingOrder="0" vertical="bottom"/>
    </xf>
    <xf borderId="0" fillId="0" fontId="6" numFmtId="0" xfId="0" applyFont="1"/>
    <xf borderId="0" fillId="0" fontId="7" numFmtId="0" xfId="0" applyFont="1"/>
    <xf borderId="4" fillId="4" fontId="6" numFmtId="0" xfId="0" applyBorder="1" applyFont="1"/>
    <xf borderId="4" fillId="4" fontId="7" numFmtId="0" xfId="0" applyBorder="1" applyFont="1"/>
    <xf borderId="0" fillId="0" fontId="8" numFmtId="0" xfId="0" applyAlignment="1" applyFont="1">
      <alignment vertical="bottom"/>
    </xf>
    <xf borderId="0" fillId="0" fontId="4" numFmtId="164" xfId="0" applyAlignment="1" applyFont="1" applyNumberFormat="1">
      <alignment horizontal="right" vertical="bottom"/>
    </xf>
    <xf borderId="4" fillId="4" fontId="8" numFmtId="0" xfId="0" applyAlignment="1" applyBorder="1" applyFont="1">
      <alignment vertical="bottom"/>
    </xf>
    <xf borderId="4" fillId="4" fontId="4" numFmtId="164" xfId="0" applyAlignment="1" applyBorder="1" applyFont="1" applyNumberFormat="1">
      <alignment horizontal="right" vertical="bottom"/>
    </xf>
    <xf borderId="0" fillId="0" fontId="9" numFmtId="0" xfId="0" applyFont="1"/>
    <xf borderId="0" fillId="0" fontId="6" numFmtId="164" xfId="0" applyFont="1" applyNumberFormat="1"/>
    <xf borderId="4" fillId="4" fontId="9" numFmtId="0" xfId="0" applyBorder="1" applyFont="1"/>
    <xf borderId="4" fillId="4" fontId="6" numFmtId="164" xfId="0" applyBorder="1" applyFont="1" applyNumberFormat="1"/>
    <xf borderId="0" fillId="0" fontId="6" numFmtId="0" xfId="0" applyAlignment="1" applyFont="1">
      <alignment readingOrder="0"/>
    </xf>
    <xf borderId="4" fillId="3" fontId="3" numFmtId="0" xfId="0" applyAlignment="1" applyBorder="1" applyFont="1">
      <alignment horizontal="center" readingOrder="0" vertical="center"/>
    </xf>
    <xf borderId="0" fillId="0" fontId="4" numFmtId="165" xfId="0" applyAlignment="1" applyFont="1" applyNumberFormat="1">
      <alignment horizontal="right" vertical="bottom"/>
    </xf>
    <xf borderId="4" fillId="4" fontId="4" numFmtId="165" xfId="0" applyAlignment="1" applyBorder="1" applyFont="1" applyNumberFormat="1">
      <alignment horizontal="right" vertical="bottom"/>
    </xf>
    <xf borderId="0" fillId="0" fontId="4" numFmtId="0" xfId="0" applyAlignment="1" applyFont="1">
      <alignment readingOrder="0" vertical="bottom"/>
    </xf>
    <xf borderId="4" fillId="4" fontId="6" numFmtId="165" xfId="0" applyBorder="1" applyFont="1" applyNumberFormat="1"/>
    <xf borderId="0" fillId="0" fontId="6" numFmtId="165" xfId="0" applyFont="1" applyNumberFormat="1"/>
    <xf borderId="1" fillId="3" fontId="3" numFmtId="0" xfId="0" applyAlignment="1" applyBorder="1" applyFont="1">
      <alignment horizontal="center" vertical="center"/>
    </xf>
    <xf borderId="0" fillId="0" fontId="1" numFmtId="0" xfId="0" applyFont="1"/>
    <xf borderId="4" fillId="4" fontId="6" numFmtId="165" xfId="0" applyAlignment="1" applyBorder="1" applyFont="1" applyNumberFormat="1">
      <alignment readingOrder="0"/>
    </xf>
    <xf borderId="4" fillId="4" fontId="6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4" fillId="5" fontId="5" numFmtId="0" xfId="0" applyBorder="1" applyFill="1" applyFont="1"/>
    <xf borderId="5" fillId="6" fontId="3" numFmtId="0" xfId="0" applyAlignment="1" applyBorder="1" applyFill="1" applyFont="1">
      <alignment horizontal="center" vertical="center"/>
    </xf>
    <xf borderId="0" fillId="0" fontId="5" numFmtId="165" xfId="0" applyFont="1" applyNumberFormat="1"/>
    <xf borderId="0" fillId="0" fontId="5" numFmtId="164" xfId="0" applyFont="1" applyNumberFormat="1"/>
  </cellXfs>
  <cellStyles count="1">
    <cellStyle xfId="0" name="Normal" builtinId="0"/>
  </cellStyles>
  <dxfs count="3">
    <dxf>
      <font/>
      <fill>
        <patternFill patternType="solid">
          <fgColor rgb="FFDCFCE7"/>
          <bgColor rgb="FFDCFCE7"/>
        </patternFill>
      </fill>
      <border/>
    </dxf>
    <dxf>
      <font/>
      <fill>
        <patternFill patternType="solid">
          <fgColor rgb="FFFEE2E2"/>
          <bgColor rgb="FFFEE2E2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24.0"/>
    <col customWidth="1" min="3" max="3" width="10.0"/>
    <col customWidth="1" min="4" max="4" width="36.0"/>
    <col customWidth="1" min="5" max="5" width="28.0"/>
    <col customWidth="1" min="6" max="6" width="24.0"/>
    <col customWidth="1" min="7" max="26" width="8.71"/>
  </cols>
  <sheetData>
    <row r="1">
      <c r="A1" s="1" t="s">
        <v>0</v>
      </c>
      <c r="B1" s="2"/>
      <c r="C1" s="2"/>
      <c r="D1" s="2"/>
      <c r="E1" s="2"/>
      <c r="F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>
      <c r="A3" s="5"/>
      <c r="B3" s="5"/>
      <c r="C3" s="5"/>
      <c r="D3" s="6"/>
      <c r="E3" s="6"/>
      <c r="F3" s="6" t="str">
        <f t="shared" ref="F3:F5" si="1">A3&amp;" | "&amp;B3</f>
        <v> | </v>
      </c>
    </row>
    <row r="4">
      <c r="A4" s="7"/>
      <c r="B4" s="7"/>
      <c r="C4" s="7"/>
      <c r="D4" s="8"/>
      <c r="E4" s="8"/>
      <c r="F4" s="8" t="str">
        <f t="shared" si="1"/>
        <v> | </v>
      </c>
    </row>
    <row r="5">
      <c r="A5" s="5"/>
      <c r="B5" s="5"/>
      <c r="C5" s="5"/>
      <c r="D5" s="6"/>
      <c r="E5" s="6"/>
      <c r="F5" s="6" t="str">
        <f t="shared" si="1"/>
        <v> | </v>
      </c>
    </row>
    <row r="6">
      <c r="A6" s="7"/>
      <c r="B6" s="7"/>
      <c r="C6" s="7"/>
      <c r="D6" s="8"/>
      <c r="E6" s="8"/>
      <c r="F6" s="8" t="str">
        <f t="shared" ref="F6:F302" si="2">IF(OR(A6="",B6=""),"",A6&amp;" | "&amp;B6)</f>
        <v/>
      </c>
    </row>
    <row r="7">
      <c r="A7" s="5"/>
      <c r="B7" s="5"/>
      <c r="C7" s="5"/>
      <c r="D7" s="6"/>
      <c r="E7" s="6"/>
      <c r="F7" s="6" t="str">
        <f t="shared" si="2"/>
        <v/>
      </c>
    </row>
    <row r="8">
      <c r="A8" s="7"/>
      <c r="B8" s="7"/>
      <c r="C8" s="7"/>
      <c r="D8" s="8"/>
      <c r="E8" s="8"/>
      <c r="F8" s="8" t="str">
        <f t="shared" si="2"/>
        <v/>
      </c>
    </row>
    <row r="9">
      <c r="A9" s="5"/>
      <c r="B9" s="5"/>
      <c r="C9" s="5"/>
      <c r="D9" s="6"/>
      <c r="E9" s="6"/>
      <c r="F9" s="6" t="str">
        <f t="shared" si="2"/>
        <v/>
      </c>
    </row>
    <row r="10">
      <c r="A10" s="7"/>
      <c r="B10" s="7"/>
      <c r="C10" s="7"/>
      <c r="D10" s="8"/>
      <c r="E10" s="8"/>
      <c r="F10" s="8" t="str">
        <f t="shared" si="2"/>
        <v/>
      </c>
    </row>
    <row r="11">
      <c r="A11" s="5"/>
      <c r="B11" s="5"/>
      <c r="C11" s="5"/>
      <c r="D11" s="6"/>
      <c r="E11" s="6"/>
      <c r="F11" s="6" t="str">
        <f t="shared" si="2"/>
        <v/>
      </c>
    </row>
    <row r="12">
      <c r="A12" s="7"/>
      <c r="B12" s="7"/>
      <c r="C12" s="7"/>
      <c r="D12" s="8"/>
      <c r="E12" s="8"/>
      <c r="F12" s="8" t="str">
        <f t="shared" si="2"/>
        <v/>
      </c>
    </row>
    <row r="13">
      <c r="A13" s="5"/>
      <c r="B13" s="5"/>
      <c r="C13" s="5"/>
      <c r="D13" s="6"/>
      <c r="E13" s="6"/>
      <c r="F13" s="6" t="str">
        <f t="shared" si="2"/>
        <v/>
      </c>
    </row>
    <row r="14">
      <c r="A14" s="7"/>
      <c r="B14" s="7"/>
      <c r="C14" s="7"/>
      <c r="D14" s="8"/>
      <c r="E14" s="8"/>
      <c r="F14" s="8" t="str">
        <f t="shared" si="2"/>
        <v/>
      </c>
    </row>
    <row r="15">
      <c r="A15" s="5"/>
      <c r="B15" s="5"/>
      <c r="C15" s="5"/>
      <c r="D15" s="6"/>
      <c r="E15" s="6"/>
      <c r="F15" s="6" t="str">
        <f t="shared" si="2"/>
        <v/>
      </c>
    </row>
    <row r="16">
      <c r="A16" s="7"/>
      <c r="B16" s="7"/>
      <c r="C16" s="7"/>
      <c r="D16" s="8"/>
      <c r="E16" s="8"/>
      <c r="F16" s="8" t="str">
        <f t="shared" si="2"/>
        <v/>
      </c>
    </row>
    <row r="17">
      <c r="A17" s="5"/>
      <c r="B17" s="5"/>
      <c r="C17" s="5"/>
      <c r="D17" s="6"/>
      <c r="E17" s="6"/>
      <c r="F17" s="6" t="str">
        <f t="shared" si="2"/>
        <v/>
      </c>
    </row>
    <row r="18">
      <c r="A18" s="7"/>
      <c r="B18" s="7"/>
      <c r="C18" s="7"/>
      <c r="D18" s="8"/>
      <c r="E18" s="8"/>
      <c r="F18" s="8" t="str">
        <f t="shared" si="2"/>
        <v/>
      </c>
    </row>
    <row r="19">
      <c r="A19" s="5"/>
      <c r="B19" s="5"/>
      <c r="C19" s="5"/>
      <c r="D19" s="6"/>
      <c r="E19" s="6"/>
      <c r="F19" s="6" t="str">
        <f t="shared" si="2"/>
        <v/>
      </c>
    </row>
    <row r="20">
      <c r="A20" s="9"/>
      <c r="B20" s="7"/>
      <c r="C20" s="7"/>
      <c r="D20" s="8"/>
      <c r="E20" s="8"/>
      <c r="F20" s="8" t="str">
        <f t="shared" si="2"/>
        <v/>
      </c>
    </row>
    <row r="21" ht="15.75" customHeight="1">
      <c r="A21" s="10"/>
      <c r="B21" s="10"/>
      <c r="C21" s="10"/>
      <c r="D21" s="10"/>
      <c r="E21" s="10"/>
      <c r="F21" s="11" t="str">
        <f t="shared" si="2"/>
        <v/>
      </c>
    </row>
    <row r="22" ht="15.75" customHeight="1">
      <c r="A22" s="12"/>
      <c r="B22" s="12"/>
      <c r="C22" s="12"/>
      <c r="D22" s="12"/>
      <c r="E22" s="12"/>
      <c r="F22" s="13" t="str">
        <f t="shared" si="2"/>
        <v/>
      </c>
    </row>
    <row r="23" ht="15.75" customHeight="1">
      <c r="A23" s="10"/>
      <c r="B23" s="10"/>
      <c r="C23" s="10"/>
      <c r="D23" s="10"/>
      <c r="E23" s="10"/>
      <c r="F23" s="11" t="str">
        <f t="shared" si="2"/>
        <v/>
      </c>
    </row>
    <row r="24" ht="15.75" customHeight="1">
      <c r="A24" s="12"/>
      <c r="B24" s="12"/>
      <c r="C24" s="12"/>
      <c r="D24" s="12"/>
      <c r="E24" s="12"/>
      <c r="F24" s="13" t="str">
        <f t="shared" si="2"/>
        <v/>
      </c>
    </row>
    <row r="25" ht="15.75" customHeight="1">
      <c r="A25" s="10"/>
      <c r="B25" s="10"/>
      <c r="C25" s="10"/>
      <c r="D25" s="10"/>
      <c r="E25" s="10"/>
      <c r="F25" s="11" t="str">
        <f t="shared" si="2"/>
        <v/>
      </c>
    </row>
    <row r="26" ht="15.75" customHeight="1">
      <c r="A26" s="12"/>
      <c r="B26" s="12"/>
      <c r="C26" s="12"/>
      <c r="D26" s="12"/>
      <c r="E26" s="12"/>
      <c r="F26" s="13" t="str">
        <f t="shared" si="2"/>
        <v/>
      </c>
    </row>
    <row r="27" ht="15.75" customHeight="1">
      <c r="A27" s="10"/>
      <c r="B27" s="10"/>
      <c r="C27" s="10"/>
      <c r="D27" s="10"/>
      <c r="E27" s="10"/>
      <c r="F27" s="11" t="str">
        <f t="shared" si="2"/>
        <v/>
      </c>
    </row>
    <row r="28" ht="15.75" customHeight="1">
      <c r="A28" s="12"/>
      <c r="B28" s="12"/>
      <c r="C28" s="12"/>
      <c r="D28" s="12"/>
      <c r="E28" s="12"/>
      <c r="F28" s="13" t="str">
        <f t="shared" si="2"/>
        <v/>
      </c>
    </row>
    <row r="29" ht="15.75" customHeight="1">
      <c r="A29" s="10"/>
      <c r="B29" s="10"/>
      <c r="C29" s="10"/>
      <c r="D29" s="10"/>
      <c r="E29" s="10"/>
      <c r="F29" s="11" t="str">
        <f t="shared" si="2"/>
        <v/>
      </c>
    </row>
    <row r="30" ht="15.75" customHeight="1">
      <c r="A30" s="12"/>
      <c r="B30" s="12"/>
      <c r="C30" s="12"/>
      <c r="D30" s="12"/>
      <c r="E30" s="12"/>
      <c r="F30" s="13" t="str">
        <f t="shared" si="2"/>
        <v/>
      </c>
    </row>
    <row r="31" ht="15.75" customHeight="1">
      <c r="A31" s="10"/>
      <c r="B31" s="10"/>
      <c r="C31" s="10"/>
      <c r="D31" s="10"/>
      <c r="E31" s="10"/>
      <c r="F31" s="11" t="str">
        <f t="shared" si="2"/>
        <v/>
      </c>
    </row>
    <row r="32" ht="15.75" customHeight="1">
      <c r="A32" s="12"/>
      <c r="B32" s="12"/>
      <c r="C32" s="12"/>
      <c r="D32" s="12"/>
      <c r="E32" s="12"/>
      <c r="F32" s="13" t="str">
        <f t="shared" si="2"/>
        <v/>
      </c>
    </row>
    <row r="33" ht="15.75" customHeight="1">
      <c r="A33" s="10"/>
      <c r="B33" s="10"/>
      <c r="C33" s="10"/>
      <c r="D33" s="10"/>
      <c r="E33" s="10"/>
      <c r="F33" s="11" t="str">
        <f t="shared" si="2"/>
        <v/>
      </c>
    </row>
    <row r="34" ht="15.75" customHeight="1">
      <c r="A34" s="12"/>
      <c r="B34" s="12"/>
      <c r="C34" s="12"/>
      <c r="D34" s="12"/>
      <c r="E34" s="12"/>
      <c r="F34" s="13" t="str">
        <f t="shared" si="2"/>
        <v/>
      </c>
    </row>
    <row r="35" ht="15.75" customHeight="1">
      <c r="A35" s="10"/>
      <c r="B35" s="10"/>
      <c r="C35" s="10"/>
      <c r="D35" s="10"/>
      <c r="E35" s="10"/>
      <c r="F35" s="11" t="str">
        <f t="shared" si="2"/>
        <v/>
      </c>
    </row>
    <row r="36" ht="15.75" customHeight="1">
      <c r="A36" s="12"/>
      <c r="B36" s="12"/>
      <c r="C36" s="12"/>
      <c r="D36" s="12"/>
      <c r="E36" s="12"/>
      <c r="F36" s="13" t="str">
        <f t="shared" si="2"/>
        <v/>
      </c>
    </row>
    <row r="37" ht="15.75" customHeight="1">
      <c r="A37" s="10"/>
      <c r="B37" s="10"/>
      <c r="C37" s="10"/>
      <c r="D37" s="10"/>
      <c r="E37" s="10"/>
      <c r="F37" s="11" t="str">
        <f t="shared" si="2"/>
        <v/>
      </c>
    </row>
    <row r="38" ht="15.75" customHeight="1">
      <c r="A38" s="12"/>
      <c r="B38" s="12"/>
      <c r="C38" s="12"/>
      <c r="D38" s="12"/>
      <c r="E38" s="12"/>
      <c r="F38" s="13" t="str">
        <f t="shared" si="2"/>
        <v/>
      </c>
    </row>
    <row r="39" ht="15.75" customHeight="1">
      <c r="A39" s="10"/>
      <c r="B39" s="10"/>
      <c r="C39" s="10"/>
      <c r="D39" s="10"/>
      <c r="E39" s="10"/>
      <c r="F39" s="11" t="str">
        <f t="shared" si="2"/>
        <v/>
      </c>
    </row>
    <row r="40" ht="15.75" customHeight="1">
      <c r="A40" s="12"/>
      <c r="B40" s="12"/>
      <c r="C40" s="12"/>
      <c r="D40" s="12"/>
      <c r="E40" s="12"/>
      <c r="F40" s="13" t="str">
        <f t="shared" si="2"/>
        <v/>
      </c>
    </row>
    <row r="41" ht="15.75" customHeight="1">
      <c r="A41" s="10"/>
      <c r="B41" s="10"/>
      <c r="C41" s="10"/>
      <c r="D41" s="10"/>
      <c r="E41" s="10"/>
      <c r="F41" s="11" t="str">
        <f t="shared" si="2"/>
        <v/>
      </c>
    </row>
    <row r="42" ht="15.75" customHeight="1">
      <c r="A42" s="12"/>
      <c r="B42" s="12"/>
      <c r="C42" s="12"/>
      <c r="D42" s="12"/>
      <c r="E42" s="12"/>
      <c r="F42" s="13" t="str">
        <f t="shared" si="2"/>
        <v/>
      </c>
    </row>
    <row r="43" ht="15.75" customHeight="1">
      <c r="A43" s="10"/>
      <c r="B43" s="10"/>
      <c r="C43" s="10"/>
      <c r="D43" s="10"/>
      <c r="E43" s="10"/>
      <c r="F43" s="11" t="str">
        <f t="shared" si="2"/>
        <v/>
      </c>
    </row>
    <row r="44" ht="15.75" customHeight="1">
      <c r="A44" s="12"/>
      <c r="B44" s="12"/>
      <c r="C44" s="12"/>
      <c r="D44" s="12"/>
      <c r="E44" s="12"/>
      <c r="F44" s="13" t="str">
        <f t="shared" si="2"/>
        <v/>
      </c>
    </row>
    <row r="45" ht="15.75" customHeight="1">
      <c r="A45" s="10"/>
      <c r="B45" s="10"/>
      <c r="C45" s="10"/>
      <c r="D45" s="10"/>
      <c r="E45" s="10"/>
      <c r="F45" s="11" t="str">
        <f t="shared" si="2"/>
        <v/>
      </c>
    </row>
    <row r="46" ht="15.75" customHeight="1">
      <c r="A46" s="12"/>
      <c r="B46" s="12"/>
      <c r="C46" s="12"/>
      <c r="D46" s="12"/>
      <c r="E46" s="12"/>
      <c r="F46" s="13" t="str">
        <f t="shared" si="2"/>
        <v/>
      </c>
    </row>
    <row r="47" ht="15.75" customHeight="1">
      <c r="A47" s="10"/>
      <c r="B47" s="10"/>
      <c r="C47" s="10"/>
      <c r="D47" s="10"/>
      <c r="E47" s="10"/>
      <c r="F47" s="11" t="str">
        <f t="shared" si="2"/>
        <v/>
      </c>
    </row>
    <row r="48" ht="15.75" customHeight="1">
      <c r="A48" s="12"/>
      <c r="B48" s="12"/>
      <c r="C48" s="12"/>
      <c r="D48" s="12"/>
      <c r="E48" s="12"/>
      <c r="F48" s="13" t="str">
        <f t="shared" si="2"/>
        <v/>
      </c>
    </row>
    <row r="49" ht="15.75" customHeight="1">
      <c r="A49" s="10"/>
      <c r="B49" s="10"/>
      <c r="C49" s="10"/>
      <c r="D49" s="10"/>
      <c r="E49" s="10"/>
      <c r="F49" s="11" t="str">
        <f t="shared" si="2"/>
        <v/>
      </c>
    </row>
    <row r="50" ht="15.75" customHeight="1">
      <c r="A50" s="12"/>
      <c r="B50" s="12"/>
      <c r="C50" s="12"/>
      <c r="D50" s="12"/>
      <c r="E50" s="12"/>
      <c r="F50" s="13" t="str">
        <f t="shared" si="2"/>
        <v/>
      </c>
    </row>
    <row r="51" ht="15.75" customHeight="1">
      <c r="A51" s="10"/>
      <c r="B51" s="10"/>
      <c r="C51" s="10"/>
      <c r="D51" s="10"/>
      <c r="E51" s="10"/>
      <c r="F51" s="11" t="str">
        <f t="shared" si="2"/>
        <v/>
      </c>
    </row>
    <row r="52" ht="15.75" customHeight="1">
      <c r="A52" s="12"/>
      <c r="B52" s="12"/>
      <c r="C52" s="12"/>
      <c r="D52" s="12"/>
      <c r="E52" s="12"/>
      <c r="F52" s="13" t="str">
        <f t="shared" si="2"/>
        <v/>
      </c>
    </row>
    <row r="53" ht="15.75" customHeight="1">
      <c r="A53" s="10"/>
      <c r="B53" s="10"/>
      <c r="C53" s="10"/>
      <c r="D53" s="10"/>
      <c r="E53" s="10"/>
      <c r="F53" s="11" t="str">
        <f t="shared" si="2"/>
        <v/>
      </c>
    </row>
    <row r="54" ht="15.75" customHeight="1">
      <c r="A54" s="12"/>
      <c r="B54" s="12"/>
      <c r="C54" s="12"/>
      <c r="D54" s="12"/>
      <c r="E54" s="12"/>
      <c r="F54" s="13" t="str">
        <f t="shared" si="2"/>
        <v/>
      </c>
    </row>
    <row r="55" ht="15.75" customHeight="1">
      <c r="A55" s="10"/>
      <c r="B55" s="10"/>
      <c r="C55" s="10"/>
      <c r="D55" s="10"/>
      <c r="E55" s="10"/>
      <c r="F55" s="11" t="str">
        <f t="shared" si="2"/>
        <v/>
      </c>
    </row>
    <row r="56" ht="15.75" customHeight="1">
      <c r="A56" s="12"/>
      <c r="B56" s="12"/>
      <c r="C56" s="12"/>
      <c r="D56" s="12"/>
      <c r="E56" s="12"/>
      <c r="F56" s="13" t="str">
        <f t="shared" si="2"/>
        <v/>
      </c>
    </row>
    <row r="57" ht="15.75" customHeight="1">
      <c r="A57" s="10"/>
      <c r="B57" s="10"/>
      <c r="C57" s="10"/>
      <c r="D57" s="10"/>
      <c r="E57" s="10"/>
      <c r="F57" s="11" t="str">
        <f t="shared" si="2"/>
        <v/>
      </c>
    </row>
    <row r="58" ht="15.75" customHeight="1">
      <c r="A58" s="12"/>
      <c r="B58" s="12"/>
      <c r="C58" s="12"/>
      <c r="D58" s="12"/>
      <c r="E58" s="12"/>
      <c r="F58" s="13" t="str">
        <f t="shared" si="2"/>
        <v/>
      </c>
    </row>
    <row r="59" ht="15.75" customHeight="1">
      <c r="A59" s="10"/>
      <c r="B59" s="10"/>
      <c r="C59" s="10"/>
      <c r="D59" s="10"/>
      <c r="E59" s="10"/>
      <c r="F59" s="11" t="str">
        <f t="shared" si="2"/>
        <v/>
      </c>
    </row>
    <row r="60" ht="15.75" customHeight="1">
      <c r="A60" s="12"/>
      <c r="B60" s="12"/>
      <c r="C60" s="12"/>
      <c r="D60" s="12"/>
      <c r="E60" s="12"/>
      <c r="F60" s="13" t="str">
        <f t="shared" si="2"/>
        <v/>
      </c>
    </row>
    <row r="61" ht="15.75" customHeight="1">
      <c r="A61" s="10"/>
      <c r="B61" s="10"/>
      <c r="C61" s="10"/>
      <c r="D61" s="10"/>
      <c r="E61" s="10"/>
      <c r="F61" s="11" t="str">
        <f t="shared" si="2"/>
        <v/>
      </c>
    </row>
    <row r="62" ht="15.75" customHeight="1">
      <c r="A62" s="12"/>
      <c r="B62" s="12"/>
      <c r="C62" s="12"/>
      <c r="D62" s="12"/>
      <c r="E62" s="12"/>
      <c r="F62" s="13" t="str">
        <f t="shared" si="2"/>
        <v/>
      </c>
    </row>
    <row r="63" ht="15.75" customHeight="1">
      <c r="A63" s="10"/>
      <c r="B63" s="10"/>
      <c r="C63" s="10"/>
      <c r="D63" s="10"/>
      <c r="E63" s="10"/>
      <c r="F63" s="11" t="str">
        <f t="shared" si="2"/>
        <v/>
      </c>
    </row>
    <row r="64" ht="15.75" customHeight="1">
      <c r="A64" s="12"/>
      <c r="B64" s="12"/>
      <c r="C64" s="12"/>
      <c r="D64" s="12"/>
      <c r="E64" s="12"/>
      <c r="F64" s="13" t="str">
        <f t="shared" si="2"/>
        <v/>
      </c>
    </row>
    <row r="65" ht="15.75" customHeight="1">
      <c r="A65" s="10"/>
      <c r="B65" s="10"/>
      <c r="C65" s="10"/>
      <c r="D65" s="10"/>
      <c r="E65" s="10"/>
      <c r="F65" s="11" t="str">
        <f t="shared" si="2"/>
        <v/>
      </c>
    </row>
    <row r="66" ht="15.75" customHeight="1">
      <c r="A66" s="12"/>
      <c r="B66" s="12"/>
      <c r="C66" s="12"/>
      <c r="D66" s="12"/>
      <c r="E66" s="12"/>
      <c r="F66" s="13" t="str">
        <f t="shared" si="2"/>
        <v/>
      </c>
    </row>
    <row r="67" ht="15.75" customHeight="1">
      <c r="A67" s="10"/>
      <c r="B67" s="10"/>
      <c r="C67" s="10"/>
      <c r="D67" s="10"/>
      <c r="E67" s="10"/>
      <c r="F67" s="11" t="str">
        <f t="shared" si="2"/>
        <v/>
      </c>
    </row>
    <row r="68" ht="15.75" customHeight="1">
      <c r="A68" s="12"/>
      <c r="B68" s="12"/>
      <c r="C68" s="12"/>
      <c r="D68" s="12"/>
      <c r="E68" s="12"/>
      <c r="F68" s="13" t="str">
        <f t="shared" si="2"/>
        <v/>
      </c>
    </row>
    <row r="69" ht="15.75" customHeight="1">
      <c r="A69" s="10"/>
      <c r="B69" s="10"/>
      <c r="C69" s="10"/>
      <c r="D69" s="10"/>
      <c r="E69" s="10"/>
      <c r="F69" s="11" t="str">
        <f t="shared" si="2"/>
        <v/>
      </c>
    </row>
    <row r="70" ht="15.75" customHeight="1">
      <c r="A70" s="12"/>
      <c r="B70" s="12"/>
      <c r="C70" s="12"/>
      <c r="D70" s="12"/>
      <c r="E70" s="12"/>
      <c r="F70" s="13" t="str">
        <f t="shared" si="2"/>
        <v/>
      </c>
    </row>
    <row r="71" ht="15.75" customHeight="1">
      <c r="A71" s="10"/>
      <c r="B71" s="10"/>
      <c r="C71" s="10"/>
      <c r="D71" s="10"/>
      <c r="E71" s="10"/>
      <c r="F71" s="11" t="str">
        <f t="shared" si="2"/>
        <v/>
      </c>
    </row>
    <row r="72" ht="15.75" customHeight="1">
      <c r="A72" s="12"/>
      <c r="B72" s="12"/>
      <c r="C72" s="12"/>
      <c r="D72" s="12"/>
      <c r="E72" s="12"/>
      <c r="F72" s="13" t="str">
        <f t="shared" si="2"/>
        <v/>
      </c>
    </row>
    <row r="73" ht="15.75" customHeight="1">
      <c r="A73" s="10"/>
      <c r="B73" s="10"/>
      <c r="C73" s="10"/>
      <c r="D73" s="10"/>
      <c r="E73" s="10"/>
      <c r="F73" s="11" t="str">
        <f t="shared" si="2"/>
        <v/>
      </c>
    </row>
    <row r="74" ht="15.75" customHeight="1">
      <c r="A74" s="12"/>
      <c r="B74" s="12"/>
      <c r="C74" s="12"/>
      <c r="D74" s="12"/>
      <c r="E74" s="12"/>
      <c r="F74" s="13" t="str">
        <f t="shared" si="2"/>
        <v/>
      </c>
    </row>
    <row r="75" ht="15.75" customHeight="1">
      <c r="A75" s="10"/>
      <c r="B75" s="10"/>
      <c r="C75" s="10"/>
      <c r="D75" s="10"/>
      <c r="E75" s="10"/>
      <c r="F75" s="11" t="str">
        <f t="shared" si="2"/>
        <v/>
      </c>
    </row>
    <row r="76" ht="15.75" customHeight="1">
      <c r="A76" s="12"/>
      <c r="B76" s="12"/>
      <c r="C76" s="12"/>
      <c r="D76" s="12"/>
      <c r="E76" s="12"/>
      <c r="F76" s="13" t="str">
        <f t="shared" si="2"/>
        <v/>
      </c>
    </row>
    <row r="77" ht="15.75" customHeight="1">
      <c r="A77" s="10"/>
      <c r="B77" s="10"/>
      <c r="C77" s="10"/>
      <c r="D77" s="10"/>
      <c r="E77" s="10"/>
      <c r="F77" s="11" t="str">
        <f t="shared" si="2"/>
        <v/>
      </c>
    </row>
    <row r="78" ht="15.75" customHeight="1">
      <c r="A78" s="12"/>
      <c r="B78" s="12"/>
      <c r="C78" s="12"/>
      <c r="D78" s="12"/>
      <c r="E78" s="12"/>
      <c r="F78" s="13" t="str">
        <f t="shared" si="2"/>
        <v/>
      </c>
    </row>
    <row r="79" ht="15.75" customHeight="1">
      <c r="A79" s="10"/>
      <c r="B79" s="10"/>
      <c r="C79" s="10"/>
      <c r="D79" s="10"/>
      <c r="E79" s="10"/>
      <c r="F79" s="11" t="str">
        <f t="shared" si="2"/>
        <v/>
      </c>
    </row>
    <row r="80" ht="15.75" customHeight="1">
      <c r="A80" s="12"/>
      <c r="B80" s="12"/>
      <c r="C80" s="12"/>
      <c r="D80" s="12"/>
      <c r="E80" s="12"/>
      <c r="F80" s="13" t="str">
        <f t="shared" si="2"/>
        <v/>
      </c>
    </row>
    <row r="81" ht="15.75" customHeight="1">
      <c r="A81" s="10"/>
      <c r="B81" s="10"/>
      <c r="C81" s="10"/>
      <c r="D81" s="10"/>
      <c r="E81" s="10"/>
      <c r="F81" s="11" t="str">
        <f t="shared" si="2"/>
        <v/>
      </c>
    </row>
    <row r="82" ht="15.75" customHeight="1">
      <c r="A82" s="12"/>
      <c r="B82" s="12"/>
      <c r="C82" s="12"/>
      <c r="D82" s="12"/>
      <c r="E82" s="12"/>
      <c r="F82" s="13" t="str">
        <f t="shared" si="2"/>
        <v/>
      </c>
    </row>
    <row r="83" ht="15.75" customHeight="1">
      <c r="A83" s="10"/>
      <c r="B83" s="10"/>
      <c r="C83" s="10"/>
      <c r="D83" s="10"/>
      <c r="E83" s="10"/>
      <c r="F83" s="11" t="str">
        <f t="shared" si="2"/>
        <v/>
      </c>
    </row>
    <row r="84" ht="15.75" customHeight="1">
      <c r="A84" s="12"/>
      <c r="B84" s="12"/>
      <c r="C84" s="12"/>
      <c r="D84" s="12"/>
      <c r="E84" s="12"/>
      <c r="F84" s="13" t="str">
        <f t="shared" si="2"/>
        <v/>
      </c>
    </row>
    <row r="85" ht="15.75" customHeight="1">
      <c r="A85" s="10"/>
      <c r="B85" s="10"/>
      <c r="C85" s="10"/>
      <c r="D85" s="10"/>
      <c r="E85" s="10"/>
      <c r="F85" s="11" t="str">
        <f t="shared" si="2"/>
        <v/>
      </c>
    </row>
    <row r="86" ht="15.75" customHeight="1">
      <c r="A86" s="12"/>
      <c r="B86" s="12"/>
      <c r="C86" s="12"/>
      <c r="D86" s="12"/>
      <c r="E86" s="12"/>
      <c r="F86" s="13" t="str">
        <f t="shared" si="2"/>
        <v/>
      </c>
    </row>
    <row r="87" ht="15.75" customHeight="1">
      <c r="A87" s="10"/>
      <c r="B87" s="10"/>
      <c r="C87" s="10"/>
      <c r="D87" s="10"/>
      <c r="E87" s="10"/>
      <c r="F87" s="11" t="str">
        <f t="shared" si="2"/>
        <v/>
      </c>
    </row>
    <row r="88" ht="15.75" customHeight="1">
      <c r="A88" s="12"/>
      <c r="B88" s="12"/>
      <c r="C88" s="12"/>
      <c r="D88" s="12"/>
      <c r="E88" s="12"/>
      <c r="F88" s="13" t="str">
        <f t="shared" si="2"/>
        <v/>
      </c>
    </row>
    <row r="89" ht="15.75" customHeight="1">
      <c r="A89" s="10"/>
      <c r="B89" s="10"/>
      <c r="C89" s="10"/>
      <c r="D89" s="10"/>
      <c r="E89" s="10"/>
      <c r="F89" s="11" t="str">
        <f t="shared" si="2"/>
        <v/>
      </c>
    </row>
    <row r="90" ht="15.75" customHeight="1">
      <c r="A90" s="12"/>
      <c r="B90" s="12"/>
      <c r="C90" s="12"/>
      <c r="D90" s="12"/>
      <c r="E90" s="12"/>
      <c r="F90" s="13" t="str">
        <f t="shared" si="2"/>
        <v/>
      </c>
    </row>
    <row r="91" ht="15.75" customHeight="1">
      <c r="A91" s="10"/>
      <c r="B91" s="10"/>
      <c r="C91" s="10"/>
      <c r="D91" s="10"/>
      <c r="E91" s="10"/>
      <c r="F91" s="11" t="str">
        <f t="shared" si="2"/>
        <v/>
      </c>
    </row>
    <row r="92" ht="15.75" customHeight="1">
      <c r="A92" s="12"/>
      <c r="B92" s="12"/>
      <c r="C92" s="12"/>
      <c r="D92" s="12"/>
      <c r="E92" s="12"/>
      <c r="F92" s="13" t="str">
        <f t="shared" si="2"/>
        <v/>
      </c>
    </row>
    <row r="93" ht="15.75" customHeight="1">
      <c r="A93" s="10"/>
      <c r="B93" s="10"/>
      <c r="C93" s="10"/>
      <c r="D93" s="10"/>
      <c r="E93" s="10"/>
      <c r="F93" s="11" t="str">
        <f t="shared" si="2"/>
        <v/>
      </c>
    </row>
    <row r="94" ht="15.75" customHeight="1">
      <c r="A94" s="12"/>
      <c r="B94" s="12"/>
      <c r="C94" s="12"/>
      <c r="D94" s="12"/>
      <c r="E94" s="12"/>
      <c r="F94" s="13" t="str">
        <f t="shared" si="2"/>
        <v/>
      </c>
    </row>
    <row r="95" ht="15.75" customHeight="1">
      <c r="A95" s="10"/>
      <c r="B95" s="10"/>
      <c r="C95" s="10"/>
      <c r="D95" s="10"/>
      <c r="E95" s="10"/>
      <c r="F95" s="11" t="str">
        <f t="shared" si="2"/>
        <v/>
      </c>
    </row>
    <row r="96" ht="15.75" customHeight="1">
      <c r="A96" s="12"/>
      <c r="B96" s="12"/>
      <c r="C96" s="12"/>
      <c r="D96" s="12"/>
      <c r="E96" s="12"/>
      <c r="F96" s="13" t="str">
        <f t="shared" si="2"/>
        <v/>
      </c>
    </row>
    <row r="97" ht="15.75" customHeight="1">
      <c r="A97" s="10"/>
      <c r="B97" s="10"/>
      <c r="C97" s="10"/>
      <c r="D97" s="10"/>
      <c r="E97" s="10"/>
      <c r="F97" s="11" t="str">
        <f t="shared" si="2"/>
        <v/>
      </c>
    </row>
    <row r="98" ht="15.75" customHeight="1">
      <c r="A98" s="12"/>
      <c r="B98" s="12"/>
      <c r="C98" s="12"/>
      <c r="D98" s="12"/>
      <c r="E98" s="12"/>
      <c r="F98" s="13" t="str">
        <f t="shared" si="2"/>
        <v/>
      </c>
    </row>
    <row r="99" ht="15.75" customHeight="1">
      <c r="A99" s="10"/>
      <c r="B99" s="10"/>
      <c r="C99" s="10"/>
      <c r="D99" s="10"/>
      <c r="E99" s="10"/>
      <c r="F99" s="11" t="str">
        <f t="shared" si="2"/>
        <v/>
      </c>
    </row>
    <row r="100" ht="15.75" customHeight="1">
      <c r="A100" s="12"/>
      <c r="B100" s="12"/>
      <c r="C100" s="12"/>
      <c r="D100" s="12"/>
      <c r="E100" s="12"/>
      <c r="F100" s="13" t="str">
        <f t="shared" si="2"/>
        <v/>
      </c>
    </row>
    <row r="101" ht="15.75" customHeight="1">
      <c r="A101" s="10"/>
      <c r="B101" s="10"/>
      <c r="C101" s="10"/>
      <c r="D101" s="10"/>
      <c r="E101" s="10"/>
      <c r="F101" s="11" t="str">
        <f t="shared" si="2"/>
        <v/>
      </c>
    </row>
    <row r="102" ht="15.75" customHeight="1">
      <c r="A102" s="12"/>
      <c r="B102" s="12"/>
      <c r="C102" s="12"/>
      <c r="D102" s="12"/>
      <c r="E102" s="12"/>
      <c r="F102" s="13" t="str">
        <f t="shared" si="2"/>
        <v/>
      </c>
    </row>
    <row r="103" ht="15.75" customHeight="1">
      <c r="A103" s="10"/>
      <c r="B103" s="10"/>
      <c r="C103" s="10"/>
      <c r="D103" s="10"/>
      <c r="E103" s="10"/>
      <c r="F103" s="11" t="str">
        <f t="shared" si="2"/>
        <v/>
      </c>
    </row>
    <row r="104" ht="15.75" customHeight="1">
      <c r="A104" s="12"/>
      <c r="B104" s="12"/>
      <c r="C104" s="12"/>
      <c r="D104" s="12"/>
      <c r="E104" s="12"/>
      <c r="F104" s="13" t="str">
        <f t="shared" si="2"/>
        <v/>
      </c>
    </row>
    <row r="105" ht="15.75" customHeight="1">
      <c r="A105" s="10"/>
      <c r="B105" s="10"/>
      <c r="C105" s="10"/>
      <c r="D105" s="10"/>
      <c r="E105" s="10"/>
      <c r="F105" s="11" t="str">
        <f t="shared" si="2"/>
        <v/>
      </c>
    </row>
    <row r="106" ht="15.75" customHeight="1">
      <c r="A106" s="12"/>
      <c r="B106" s="12"/>
      <c r="C106" s="12"/>
      <c r="D106" s="12"/>
      <c r="E106" s="12"/>
      <c r="F106" s="13" t="str">
        <f t="shared" si="2"/>
        <v/>
      </c>
    </row>
    <row r="107" ht="15.75" customHeight="1">
      <c r="A107" s="10"/>
      <c r="B107" s="10"/>
      <c r="C107" s="10"/>
      <c r="D107" s="10"/>
      <c r="E107" s="10"/>
      <c r="F107" s="11" t="str">
        <f t="shared" si="2"/>
        <v/>
      </c>
    </row>
    <row r="108" ht="15.75" customHeight="1">
      <c r="A108" s="12"/>
      <c r="B108" s="12"/>
      <c r="C108" s="12"/>
      <c r="D108" s="12"/>
      <c r="E108" s="12"/>
      <c r="F108" s="13" t="str">
        <f t="shared" si="2"/>
        <v/>
      </c>
    </row>
    <row r="109" ht="15.75" customHeight="1">
      <c r="A109" s="10"/>
      <c r="B109" s="10"/>
      <c r="C109" s="10"/>
      <c r="D109" s="10"/>
      <c r="E109" s="10"/>
      <c r="F109" s="11" t="str">
        <f t="shared" si="2"/>
        <v/>
      </c>
    </row>
    <row r="110" ht="15.75" customHeight="1">
      <c r="A110" s="12"/>
      <c r="B110" s="12"/>
      <c r="C110" s="12"/>
      <c r="D110" s="12"/>
      <c r="E110" s="12"/>
      <c r="F110" s="13" t="str">
        <f t="shared" si="2"/>
        <v/>
      </c>
    </row>
    <row r="111" ht="15.75" customHeight="1">
      <c r="A111" s="10"/>
      <c r="B111" s="10"/>
      <c r="C111" s="10"/>
      <c r="D111" s="10"/>
      <c r="E111" s="10"/>
      <c r="F111" s="11" t="str">
        <f t="shared" si="2"/>
        <v/>
      </c>
    </row>
    <row r="112" ht="15.75" customHeight="1">
      <c r="A112" s="12"/>
      <c r="B112" s="12"/>
      <c r="C112" s="12"/>
      <c r="D112" s="12"/>
      <c r="E112" s="12"/>
      <c r="F112" s="13" t="str">
        <f t="shared" si="2"/>
        <v/>
      </c>
    </row>
    <row r="113" ht="15.75" customHeight="1">
      <c r="A113" s="10"/>
      <c r="B113" s="10"/>
      <c r="C113" s="10"/>
      <c r="D113" s="10"/>
      <c r="E113" s="10"/>
      <c r="F113" s="11" t="str">
        <f t="shared" si="2"/>
        <v/>
      </c>
    </row>
    <row r="114" ht="15.75" customHeight="1">
      <c r="A114" s="12"/>
      <c r="B114" s="12"/>
      <c r="C114" s="12"/>
      <c r="D114" s="12"/>
      <c r="E114" s="12"/>
      <c r="F114" s="13" t="str">
        <f t="shared" si="2"/>
        <v/>
      </c>
    </row>
    <row r="115" ht="15.75" customHeight="1">
      <c r="A115" s="10"/>
      <c r="B115" s="10"/>
      <c r="C115" s="10"/>
      <c r="D115" s="10"/>
      <c r="E115" s="10"/>
      <c r="F115" s="11" t="str">
        <f t="shared" si="2"/>
        <v/>
      </c>
    </row>
    <row r="116" ht="15.75" customHeight="1">
      <c r="A116" s="12"/>
      <c r="B116" s="12"/>
      <c r="C116" s="12"/>
      <c r="D116" s="12"/>
      <c r="E116" s="12"/>
      <c r="F116" s="13" t="str">
        <f t="shared" si="2"/>
        <v/>
      </c>
    </row>
    <row r="117" ht="15.75" customHeight="1">
      <c r="A117" s="10"/>
      <c r="B117" s="10"/>
      <c r="C117" s="10"/>
      <c r="D117" s="10"/>
      <c r="E117" s="10"/>
      <c r="F117" s="11" t="str">
        <f t="shared" si="2"/>
        <v/>
      </c>
    </row>
    <row r="118" ht="15.75" customHeight="1">
      <c r="A118" s="12"/>
      <c r="B118" s="12"/>
      <c r="C118" s="12"/>
      <c r="D118" s="12"/>
      <c r="E118" s="12"/>
      <c r="F118" s="13" t="str">
        <f t="shared" si="2"/>
        <v/>
      </c>
    </row>
    <row r="119" ht="15.75" customHeight="1">
      <c r="A119" s="10"/>
      <c r="B119" s="10"/>
      <c r="C119" s="10"/>
      <c r="D119" s="10"/>
      <c r="E119" s="10"/>
      <c r="F119" s="11" t="str">
        <f t="shared" si="2"/>
        <v/>
      </c>
    </row>
    <row r="120" ht="15.75" customHeight="1">
      <c r="A120" s="12"/>
      <c r="B120" s="12"/>
      <c r="C120" s="12"/>
      <c r="D120" s="12"/>
      <c r="E120" s="12"/>
      <c r="F120" s="13" t="str">
        <f t="shared" si="2"/>
        <v/>
      </c>
    </row>
    <row r="121" ht="15.75" customHeight="1">
      <c r="A121" s="10"/>
      <c r="B121" s="10"/>
      <c r="C121" s="10"/>
      <c r="D121" s="10"/>
      <c r="E121" s="10"/>
      <c r="F121" s="11" t="str">
        <f t="shared" si="2"/>
        <v/>
      </c>
    </row>
    <row r="122" ht="15.75" customHeight="1">
      <c r="A122" s="12"/>
      <c r="B122" s="12"/>
      <c r="C122" s="12"/>
      <c r="D122" s="12"/>
      <c r="E122" s="12"/>
      <c r="F122" s="13" t="str">
        <f t="shared" si="2"/>
        <v/>
      </c>
    </row>
    <row r="123" ht="15.75" customHeight="1">
      <c r="A123" s="10"/>
      <c r="B123" s="10"/>
      <c r="C123" s="10"/>
      <c r="D123" s="10"/>
      <c r="E123" s="10"/>
      <c r="F123" s="11" t="str">
        <f t="shared" si="2"/>
        <v/>
      </c>
    </row>
    <row r="124" ht="15.75" customHeight="1">
      <c r="A124" s="12"/>
      <c r="B124" s="12"/>
      <c r="C124" s="12"/>
      <c r="D124" s="12"/>
      <c r="E124" s="12"/>
      <c r="F124" s="13" t="str">
        <f t="shared" si="2"/>
        <v/>
      </c>
    </row>
    <row r="125" ht="15.75" customHeight="1">
      <c r="A125" s="10"/>
      <c r="B125" s="10"/>
      <c r="C125" s="10"/>
      <c r="D125" s="10"/>
      <c r="E125" s="10"/>
      <c r="F125" s="11" t="str">
        <f t="shared" si="2"/>
        <v/>
      </c>
    </row>
    <row r="126" ht="15.75" customHeight="1">
      <c r="A126" s="12"/>
      <c r="B126" s="12"/>
      <c r="C126" s="12"/>
      <c r="D126" s="12"/>
      <c r="E126" s="12"/>
      <c r="F126" s="13" t="str">
        <f t="shared" si="2"/>
        <v/>
      </c>
    </row>
    <row r="127" ht="15.75" customHeight="1">
      <c r="A127" s="10"/>
      <c r="B127" s="10"/>
      <c r="C127" s="10"/>
      <c r="D127" s="10"/>
      <c r="E127" s="10"/>
      <c r="F127" s="11" t="str">
        <f t="shared" si="2"/>
        <v/>
      </c>
    </row>
    <row r="128" ht="15.75" customHeight="1">
      <c r="A128" s="12"/>
      <c r="B128" s="12"/>
      <c r="C128" s="12"/>
      <c r="D128" s="12"/>
      <c r="E128" s="12"/>
      <c r="F128" s="13" t="str">
        <f t="shared" si="2"/>
        <v/>
      </c>
    </row>
    <row r="129" ht="15.75" customHeight="1">
      <c r="A129" s="10"/>
      <c r="B129" s="10"/>
      <c r="C129" s="10"/>
      <c r="D129" s="10"/>
      <c r="E129" s="10"/>
      <c r="F129" s="11" t="str">
        <f t="shared" si="2"/>
        <v/>
      </c>
    </row>
    <row r="130" ht="15.75" customHeight="1">
      <c r="A130" s="12"/>
      <c r="B130" s="12"/>
      <c r="C130" s="12"/>
      <c r="D130" s="12"/>
      <c r="E130" s="12"/>
      <c r="F130" s="13" t="str">
        <f t="shared" si="2"/>
        <v/>
      </c>
    </row>
    <row r="131" ht="15.75" customHeight="1">
      <c r="A131" s="10"/>
      <c r="B131" s="10"/>
      <c r="C131" s="10"/>
      <c r="D131" s="10"/>
      <c r="E131" s="10"/>
      <c r="F131" s="11" t="str">
        <f t="shared" si="2"/>
        <v/>
      </c>
    </row>
    <row r="132" ht="15.75" customHeight="1">
      <c r="A132" s="12"/>
      <c r="B132" s="12"/>
      <c r="C132" s="12"/>
      <c r="D132" s="12"/>
      <c r="E132" s="12"/>
      <c r="F132" s="13" t="str">
        <f t="shared" si="2"/>
        <v/>
      </c>
    </row>
    <row r="133" ht="15.75" customHeight="1">
      <c r="A133" s="10"/>
      <c r="B133" s="10"/>
      <c r="C133" s="10"/>
      <c r="D133" s="10"/>
      <c r="E133" s="10"/>
      <c r="F133" s="11" t="str">
        <f t="shared" si="2"/>
        <v/>
      </c>
    </row>
    <row r="134" ht="15.75" customHeight="1">
      <c r="A134" s="12"/>
      <c r="B134" s="12"/>
      <c r="C134" s="12"/>
      <c r="D134" s="12"/>
      <c r="E134" s="12"/>
      <c r="F134" s="13" t="str">
        <f t="shared" si="2"/>
        <v/>
      </c>
    </row>
    <row r="135" ht="15.75" customHeight="1">
      <c r="A135" s="10"/>
      <c r="B135" s="10"/>
      <c r="C135" s="10"/>
      <c r="D135" s="10"/>
      <c r="E135" s="10"/>
      <c r="F135" s="11" t="str">
        <f t="shared" si="2"/>
        <v/>
      </c>
    </row>
    <row r="136" ht="15.75" customHeight="1">
      <c r="A136" s="12"/>
      <c r="B136" s="12"/>
      <c r="C136" s="12"/>
      <c r="D136" s="12"/>
      <c r="E136" s="12"/>
      <c r="F136" s="13" t="str">
        <f t="shared" si="2"/>
        <v/>
      </c>
    </row>
    <row r="137" ht="15.75" customHeight="1">
      <c r="A137" s="10"/>
      <c r="B137" s="10"/>
      <c r="C137" s="10"/>
      <c r="D137" s="10"/>
      <c r="E137" s="10"/>
      <c r="F137" s="11" t="str">
        <f t="shared" si="2"/>
        <v/>
      </c>
    </row>
    <row r="138" ht="15.75" customHeight="1">
      <c r="A138" s="12"/>
      <c r="B138" s="12"/>
      <c r="C138" s="12"/>
      <c r="D138" s="12"/>
      <c r="E138" s="12"/>
      <c r="F138" s="13" t="str">
        <f t="shared" si="2"/>
        <v/>
      </c>
    </row>
    <row r="139" ht="15.75" customHeight="1">
      <c r="A139" s="10"/>
      <c r="B139" s="10"/>
      <c r="C139" s="10"/>
      <c r="D139" s="10"/>
      <c r="E139" s="10"/>
      <c r="F139" s="11" t="str">
        <f t="shared" si="2"/>
        <v/>
      </c>
    </row>
    <row r="140" ht="15.75" customHeight="1">
      <c r="A140" s="12"/>
      <c r="B140" s="12"/>
      <c r="C140" s="12"/>
      <c r="D140" s="12"/>
      <c r="E140" s="12"/>
      <c r="F140" s="13" t="str">
        <f t="shared" si="2"/>
        <v/>
      </c>
    </row>
    <row r="141" ht="15.75" customHeight="1">
      <c r="A141" s="10"/>
      <c r="B141" s="10"/>
      <c r="C141" s="10"/>
      <c r="D141" s="10"/>
      <c r="E141" s="10"/>
      <c r="F141" s="11" t="str">
        <f t="shared" si="2"/>
        <v/>
      </c>
    </row>
    <row r="142" ht="15.75" customHeight="1">
      <c r="A142" s="12"/>
      <c r="B142" s="12"/>
      <c r="C142" s="12"/>
      <c r="D142" s="12"/>
      <c r="E142" s="12"/>
      <c r="F142" s="13" t="str">
        <f t="shared" si="2"/>
        <v/>
      </c>
    </row>
    <row r="143" ht="15.75" customHeight="1">
      <c r="A143" s="10"/>
      <c r="B143" s="10"/>
      <c r="C143" s="10"/>
      <c r="D143" s="10"/>
      <c r="E143" s="10"/>
      <c r="F143" s="11" t="str">
        <f t="shared" si="2"/>
        <v/>
      </c>
    </row>
    <row r="144" ht="15.75" customHeight="1">
      <c r="A144" s="12"/>
      <c r="B144" s="12"/>
      <c r="C144" s="12"/>
      <c r="D144" s="12"/>
      <c r="E144" s="12"/>
      <c r="F144" s="13" t="str">
        <f t="shared" si="2"/>
        <v/>
      </c>
    </row>
    <row r="145" ht="15.75" customHeight="1">
      <c r="A145" s="10"/>
      <c r="B145" s="10"/>
      <c r="C145" s="10"/>
      <c r="D145" s="10"/>
      <c r="E145" s="10"/>
      <c r="F145" s="11" t="str">
        <f t="shared" si="2"/>
        <v/>
      </c>
    </row>
    <row r="146" ht="15.75" customHeight="1">
      <c r="A146" s="12"/>
      <c r="B146" s="12"/>
      <c r="C146" s="12"/>
      <c r="D146" s="12"/>
      <c r="E146" s="12"/>
      <c r="F146" s="13" t="str">
        <f t="shared" si="2"/>
        <v/>
      </c>
    </row>
    <row r="147" ht="15.75" customHeight="1">
      <c r="A147" s="10"/>
      <c r="B147" s="10"/>
      <c r="C147" s="10"/>
      <c r="D147" s="10"/>
      <c r="E147" s="10"/>
      <c r="F147" s="11" t="str">
        <f t="shared" si="2"/>
        <v/>
      </c>
    </row>
    <row r="148" ht="15.75" customHeight="1">
      <c r="A148" s="12"/>
      <c r="B148" s="12"/>
      <c r="C148" s="12"/>
      <c r="D148" s="12"/>
      <c r="E148" s="12"/>
      <c r="F148" s="13" t="str">
        <f t="shared" si="2"/>
        <v/>
      </c>
    </row>
    <row r="149" ht="15.75" customHeight="1">
      <c r="A149" s="10"/>
      <c r="B149" s="10"/>
      <c r="C149" s="10"/>
      <c r="D149" s="10"/>
      <c r="E149" s="10"/>
      <c r="F149" s="11" t="str">
        <f t="shared" si="2"/>
        <v/>
      </c>
    </row>
    <row r="150" ht="15.75" customHeight="1">
      <c r="A150" s="12"/>
      <c r="B150" s="12"/>
      <c r="C150" s="12"/>
      <c r="D150" s="12"/>
      <c r="E150" s="12"/>
      <c r="F150" s="13" t="str">
        <f t="shared" si="2"/>
        <v/>
      </c>
    </row>
    <row r="151" ht="15.75" customHeight="1">
      <c r="A151" s="10"/>
      <c r="B151" s="10"/>
      <c r="C151" s="10"/>
      <c r="D151" s="10"/>
      <c r="E151" s="10"/>
      <c r="F151" s="11" t="str">
        <f t="shared" si="2"/>
        <v/>
      </c>
    </row>
    <row r="152" ht="15.75" customHeight="1">
      <c r="A152" s="12"/>
      <c r="B152" s="12"/>
      <c r="C152" s="12"/>
      <c r="D152" s="12"/>
      <c r="E152" s="12"/>
      <c r="F152" s="13" t="str">
        <f t="shared" si="2"/>
        <v/>
      </c>
    </row>
    <row r="153" ht="15.75" customHeight="1">
      <c r="A153" s="10"/>
      <c r="B153" s="10"/>
      <c r="C153" s="10"/>
      <c r="D153" s="10"/>
      <c r="E153" s="10"/>
      <c r="F153" s="11" t="str">
        <f t="shared" si="2"/>
        <v/>
      </c>
    </row>
    <row r="154" ht="15.75" customHeight="1">
      <c r="A154" s="12"/>
      <c r="B154" s="12"/>
      <c r="C154" s="12"/>
      <c r="D154" s="12"/>
      <c r="E154" s="12"/>
      <c r="F154" s="13" t="str">
        <f t="shared" si="2"/>
        <v/>
      </c>
    </row>
    <row r="155" ht="15.75" customHeight="1">
      <c r="A155" s="10"/>
      <c r="B155" s="10"/>
      <c r="C155" s="10"/>
      <c r="D155" s="10"/>
      <c r="E155" s="10"/>
      <c r="F155" s="11" t="str">
        <f t="shared" si="2"/>
        <v/>
      </c>
    </row>
    <row r="156" ht="15.75" customHeight="1">
      <c r="A156" s="12"/>
      <c r="B156" s="12"/>
      <c r="C156" s="12"/>
      <c r="D156" s="12"/>
      <c r="E156" s="12"/>
      <c r="F156" s="13" t="str">
        <f t="shared" si="2"/>
        <v/>
      </c>
    </row>
    <row r="157" ht="15.75" customHeight="1">
      <c r="A157" s="10"/>
      <c r="B157" s="10"/>
      <c r="C157" s="10"/>
      <c r="D157" s="10"/>
      <c r="E157" s="10"/>
      <c r="F157" s="11" t="str">
        <f t="shared" si="2"/>
        <v/>
      </c>
    </row>
    <row r="158" ht="15.75" customHeight="1">
      <c r="A158" s="12"/>
      <c r="B158" s="12"/>
      <c r="C158" s="12"/>
      <c r="D158" s="12"/>
      <c r="E158" s="12"/>
      <c r="F158" s="13" t="str">
        <f t="shared" si="2"/>
        <v/>
      </c>
    </row>
    <row r="159" ht="15.75" customHeight="1">
      <c r="A159" s="10"/>
      <c r="B159" s="10"/>
      <c r="C159" s="10"/>
      <c r="D159" s="10"/>
      <c r="E159" s="10"/>
      <c r="F159" s="11" t="str">
        <f t="shared" si="2"/>
        <v/>
      </c>
    </row>
    <row r="160" ht="15.75" customHeight="1">
      <c r="A160" s="12"/>
      <c r="B160" s="12"/>
      <c r="C160" s="12"/>
      <c r="D160" s="12"/>
      <c r="E160" s="12"/>
      <c r="F160" s="13" t="str">
        <f t="shared" si="2"/>
        <v/>
      </c>
    </row>
    <row r="161" ht="15.75" customHeight="1">
      <c r="A161" s="10"/>
      <c r="B161" s="10"/>
      <c r="C161" s="10"/>
      <c r="D161" s="10"/>
      <c r="E161" s="10"/>
      <c r="F161" s="11" t="str">
        <f t="shared" si="2"/>
        <v/>
      </c>
    </row>
    <row r="162" ht="15.75" customHeight="1">
      <c r="A162" s="12"/>
      <c r="B162" s="12"/>
      <c r="C162" s="12"/>
      <c r="D162" s="12"/>
      <c r="E162" s="12"/>
      <c r="F162" s="13" t="str">
        <f t="shared" si="2"/>
        <v/>
      </c>
    </row>
    <row r="163" ht="15.75" customHeight="1">
      <c r="A163" s="10"/>
      <c r="B163" s="10"/>
      <c r="C163" s="10"/>
      <c r="D163" s="10"/>
      <c r="E163" s="10"/>
      <c r="F163" s="11" t="str">
        <f t="shared" si="2"/>
        <v/>
      </c>
    </row>
    <row r="164" ht="15.75" customHeight="1">
      <c r="A164" s="12"/>
      <c r="B164" s="12"/>
      <c r="C164" s="12"/>
      <c r="D164" s="12"/>
      <c r="E164" s="12"/>
      <c r="F164" s="13" t="str">
        <f t="shared" si="2"/>
        <v/>
      </c>
    </row>
    <row r="165" ht="15.75" customHeight="1">
      <c r="A165" s="10"/>
      <c r="B165" s="10"/>
      <c r="C165" s="10"/>
      <c r="D165" s="10"/>
      <c r="E165" s="10"/>
      <c r="F165" s="11" t="str">
        <f t="shared" si="2"/>
        <v/>
      </c>
    </row>
    <row r="166" ht="15.75" customHeight="1">
      <c r="A166" s="12"/>
      <c r="B166" s="12"/>
      <c r="C166" s="12"/>
      <c r="D166" s="12"/>
      <c r="E166" s="12"/>
      <c r="F166" s="13" t="str">
        <f t="shared" si="2"/>
        <v/>
      </c>
    </row>
    <row r="167" ht="15.75" customHeight="1">
      <c r="A167" s="10"/>
      <c r="B167" s="10"/>
      <c r="C167" s="10"/>
      <c r="D167" s="10"/>
      <c r="E167" s="10"/>
      <c r="F167" s="11" t="str">
        <f t="shared" si="2"/>
        <v/>
      </c>
    </row>
    <row r="168" ht="15.75" customHeight="1">
      <c r="A168" s="12"/>
      <c r="B168" s="12"/>
      <c r="C168" s="12"/>
      <c r="D168" s="12"/>
      <c r="E168" s="12"/>
      <c r="F168" s="13" t="str">
        <f t="shared" si="2"/>
        <v/>
      </c>
    </row>
    <row r="169" ht="15.75" customHeight="1">
      <c r="A169" s="10"/>
      <c r="B169" s="10"/>
      <c r="C169" s="10"/>
      <c r="D169" s="10"/>
      <c r="E169" s="10"/>
      <c r="F169" s="11" t="str">
        <f t="shared" si="2"/>
        <v/>
      </c>
    </row>
    <row r="170" ht="15.75" customHeight="1">
      <c r="A170" s="12"/>
      <c r="B170" s="12"/>
      <c r="C170" s="12"/>
      <c r="D170" s="12"/>
      <c r="E170" s="12"/>
      <c r="F170" s="13" t="str">
        <f t="shared" si="2"/>
        <v/>
      </c>
    </row>
    <row r="171" ht="15.75" customHeight="1">
      <c r="A171" s="10"/>
      <c r="B171" s="10"/>
      <c r="C171" s="10"/>
      <c r="D171" s="10"/>
      <c r="E171" s="10"/>
      <c r="F171" s="11" t="str">
        <f t="shared" si="2"/>
        <v/>
      </c>
    </row>
    <row r="172" ht="15.75" customHeight="1">
      <c r="A172" s="12"/>
      <c r="B172" s="12"/>
      <c r="C172" s="12"/>
      <c r="D172" s="12"/>
      <c r="E172" s="12"/>
      <c r="F172" s="13" t="str">
        <f t="shared" si="2"/>
        <v/>
      </c>
    </row>
    <row r="173" ht="15.75" customHeight="1">
      <c r="A173" s="10"/>
      <c r="B173" s="10"/>
      <c r="C173" s="10"/>
      <c r="D173" s="10"/>
      <c r="E173" s="10"/>
      <c r="F173" s="11" t="str">
        <f t="shared" si="2"/>
        <v/>
      </c>
    </row>
    <row r="174" ht="15.75" customHeight="1">
      <c r="A174" s="12"/>
      <c r="B174" s="12"/>
      <c r="C174" s="12"/>
      <c r="D174" s="12"/>
      <c r="E174" s="12"/>
      <c r="F174" s="13" t="str">
        <f t="shared" si="2"/>
        <v/>
      </c>
    </row>
    <row r="175" ht="15.75" customHeight="1">
      <c r="A175" s="10"/>
      <c r="B175" s="10"/>
      <c r="C175" s="10"/>
      <c r="D175" s="10"/>
      <c r="E175" s="10"/>
      <c r="F175" s="11" t="str">
        <f t="shared" si="2"/>
        <v/>
      </c>
    </row>
    <row r="176" ht="15.75" customHeight="1">
      <c r="A176" s="12"/>
      <c r="B176" s="12"/>
      <c r="C176" s="12"/>
      <c r="D176" s="12"/>
      <c r="E176" s="12"/>
      <c r="F176" s="13" t="str">
        <f t="shared" si="2"/>
        <v/>
      </c>
    </row>
    <row r="177" ht="15.75" customHeight="1">
      <c r="A177" s="10"/>
      <c r="B177" s="10"/>
      <c r="C177" s="10"/>
      <c r="D177" s="10"/>
      <c r="E177" s="10"/>
      <c r="F177" s="11" t="str">
        <f t="shared" si="2"/>
        <v/>
      </c>
    </row>
    <row r="178" ht="15.75" customHeight="1">
      <c r="A178" s="12"/>
      <c r="B178" s="12"/>
      <c r="C178" s="12"/>
      <c r="D178" s="12"/>
      <c r="E178" s="12"/>
      <c r="F178" s="13" t="str">
        <f t="shared" si="2"/>
        <v/>
      </c>
    </row>
    <row r="179" ht="15.75" customHeight="1">
      <c r="A179" s="10"/>
      <c r="B179" s="10"/>
      <c r="C179" s="10"/>
      <c r="D179" s="10"/>
      <c r="E179" s="10"/>
      <c r="F179" s="11" t="str">
        <f t="shared" si="2"/>
        <v/>
      </c>
    </row>
    <row r="180" ht="15.75" customHeight="1">
      <c r="A180" s="12"/>
      <c r="B180" s="12"/>
      <c r="C180" s="12"/>
      <c r="D180" s="12"/>
      <c r="E180" s="12"/>
      <c r="F180" s="13" t="str">
        <f t="shared" si="2"/>
        <v/>
      </c>
    </row>
    <row r="181" ht="15.75" customHeight="1">
      <c r="A181" s="10"/>
      <c r="B181" s="10"/>
      <c r="C181" s="10"/>
      <c r="D181" s="10"/>
      <c r="E181" s="10"/>
      <c r="F181" s="11" t="str">
        <f t="shared" si="2"/>
        <v/>
      </c>
    </row>
    <row r="182" ht="15.75" customHeight="1">
      <c r="A182" s="12"/>
      <c r="B182" s="12"/>
      <c r="C182" s="12"/>
      <c r="D182" s="12"/>
      <c r="E182" s="12"/>
      <c r="F182" s="13" t="str">
        <f t="shared" si="2"/>
        <v/>
      </c>
    </row>
    <row r="183" ht="15.75" customHeight="1">
      <c r="A183" s="10"/>
      <c r="B183" s="10"/>
      <c r="C183" s="10"/>
      <c r="D183" s="10"/>
      <c r="E183" s="10"/>
      <c r="F183" s="11" t="str">
        <f t="shared" si="2"/>
        <v/>
      </c>
    </row>
    <row r="184" ht="15.75" customHeight="1">
      <c r="A184" s="12"/>
      <c r="B184" s="12"/>
      <c r="C184" s="12"/>
      <c r="D184" s="12"/>
      <c r="E184" s="12"/>
      <c r="F184" s="13" t="str">
        <f t="shared" si="2"/>
        <v/>
      </c>
    </row>
    <row r="185" ht="15.75" customHeight="1">
      <c r="A185" s="10"/>
      <c r="B185" s="10"/>
      <c r="C185" s="10"/>
      <c r="D185" s="10"/>
      <c r="E185" s="10"/>
      <c r="F185" s="11" t="str">
        <f t="shared" si="2"/>
        <v/>
      </c>
    </row>
    <row r="186" ht="15.75" customHeight="1">
      <c r="A186" s="12"/>
      <c r="B186" s="12"/>
      <c r="C186" s="12"/>
      <c r="D186" s="12"/>
      <c r="E186" s="12"/>
      <c r="F186" s="13" t="str">
        <f t="shared" si="2"/>
        <v/>
      </c>
    </row>
    <row r="187" ht="15.75" customHeight="1">
      <c r="A187" s="10"/>
      <c r="B187" s="10"/>
      <c r="C187" s="10"/>
      <c r="D187" s="10"/>
      <c r="E187" s="10"/>
      <c r="F187" s="11" t="str">
        <f t="shared" si="2"/>
        <v/>
      </c>
    </row>
    <row r="188" ht="15.75" customHeight="1">
      <c r="A188" s="12"/>
      <c r="B188" s="12"/>
      <c r="C188" s="12"/>
      <c r="D188" s="12"/>
      <c r="E188" s="12"/>
      <c r="F188" s="13" t="str">
        <f t="shared" si="2"/>
        <v/>
      </c>
    </row>
    <row r="189" ht="15.75" customHeight="1">
      <c r="A189" s="10"/>
      <c r="B189" s="10"/>
      <c r="C189" s="10"/>
      <c r="D189" s="10"/>
      <c r="E189" s="10"/>
      <c r="F189" s="11" t="str">
        <f t="shared" si="2"/>
        <v/>
      </c>
    </row>
    <row r="190" ht="15.75" customHeight="1">
      <c r="A190" s="12"/>
      <c r="B190" s="12"/>
      <c r="C190" s="12"/>
      <c r="D190" s="12"/>
      <c r="E190" s="12"/>
      <c r="F190" s="13" t="str">
        <f t="shared" si="2"/>
        <v/>
      </c>
    </row>
    <row r="191" ht="15.75" customHeight="1">
      <c r="A191" s="10"/>
      <c r="B191" s="10"/>
      <c r="C191" s="10"/>
      <c r="D191" s="10"/>
      <c r="E191" s="10"/>
      <c r="F191" s="11" t="str">
        <f t="shared" si="2"/>
        <v/>
      </c>
    </row>
    <row r="192" ht="15.75" customHeight="1">
      <c r="A192" s="12"/>
      <c r="B192" s="12"/>
      <c r="C192" s="12"/>
      <c r="D192" s="12"/>
      <c r="E192" s="12"/>
      <c r="F192" s="13" t="str">
        <f t="shared" si="2"/>
        <v/>
      </c>
    </row>
    <row r="193" ht="15.75" customHeight="1">
      <c r="A193" s="10"/>
      <c r="B193" s="10"/>
      <c r="C193" s="10"/>
      <c r="D193" s="10"/>
      <c r="E193" s="10"/>
      <c r="F193" s="11" t="str">
        <f t="shared" si="2"/>
        <v/>
      </c>
    </row>
    <row r="194" ht="15.75" customHeight="1">
      <c r="A194" s="12"/>
      <c r="B194" s="12"/>
      <c r="C194" s="12"/>
      <c r="D194" s="12"/>
      <c r="E194" s="12"/>
      <c r="F194" s="13" t="str">
        <f t="shared" si="2"/>
        <v/>
      </c>
    </row>
    <row r="195" ht="15.75" customHeight="1">
      <c r="A195" s="10"/>
      <c r="B195" s="10"/>
      <c r="C195" s="10"/>
      <c r="D195" s="10"/>
      <c r="E195" s="10"/>
      <c r="F195" s="11" t="str">
        <f t="shared" si="2"/>
        <v/>
      </c>
    </row>
    <row r="196" ht="15.75" customHeight="1">
      <c r="A196" s="12"/>
      <c r="B196" s="12"/>
      <c r="C196" s="12"/>
      <c r="D196" s="12"/>
      <c r="E196" s="12"/>
      <c r="F196" s="13" t="str">
        <f t="shared" si="2"/>
        <v/>
      </c>
    </row>
    <row r="197" ht="15.75" customHeight="1">
      <c r="A197" s="10"/>
      <c r="B197" s="10"/>
      <c r="C197" s="10"/>
      <c r="D197" s="10"/>
      <c r="E197" s="10"/>
      <c r="F197" s="11" t="str">
        <f t="shared" si="2"/>
        <v/>
      </c>
    </row>
    <row r="198" ht="15.75" customHeight="1">
      <c r="A198" s="12"/>
      <c r="B198" s="12"/>
      <c r="C198" s="12"/>
      <c r="D198" s="12"/>
      <c r="E198" s="12"/>
      <c r="F198" s="13" t="str">
        <f t="shared" si="2"/>
        <v/>
      </c>
    </row>
    <row r="199" ht="15.75" customHeight="1">
      <c r="A199" s="10"/>
      <c r="B199" s="10"/>
      <c r="C199" s="10"/>
      <c r="D199" s="10"/>
      <c r="E199" s="10"/>
      <c r="F199" s="11" t="str">
        <f t="shared" si="2"/>
        <v/>
      </c>
    </row>
    <row r="200" ht="15.75" customHeight="1">
      <c r="A200" s="12"/>
      <c r="B200" s="12"/>
      <c r="C200" s="12"/>
      <c r="D200" s="12"/>
      <c r="E200" s="12"/>
      <c r="F200" s="13" t="str">
        <f t="shared" si="2"/>
        <v/>
      </c>
    </row>
    <row r="201" ht="15.75" customHeight="1">
      <c r="A201" s="10"/>
      <c r="B201" s="10"/>
      <c r="C201" s="10"/>
      <c r="D201" s="10"/>
      <c r="E201" s="10"/>
      <c r="F201" s="11" t="str">
        <f t="shared" si="2"/>
        <v/>
      </c>
    </row>
    <row r="202" ht="15.75" customHeight="1">
      <c r="A202" s="12"/>
      <c r="B202" s="12"/>
      <c r="C202" s="12"/>
      <c r="D202" s="12"/>
      <c r="E202" s="12"/>
      <c r="F202" s="13" t="str">
        <f t="shared" si="2"/>
        <v/>
      </c>
    </row>
    <row r="203" ht="15.75" customHeight="1">
      <c r="A203" s="10"/>
      <c r="B203" s="10"/>
      <c r="C203" s="10"/>
      <c r="D203" s="10"/>
      <c r="E203" s="10"/>
      <c r="F203" s="11" t="str">
        <f t="shared" si="2"/>
        <v/>
      </c>
    </row>
    <row r="204" ht="15.75" customHeight="1">
      <c r="A204" s="12"/>
      <c r="B204" s="12"/>
      <c r="C204" s="12"/>
      <c r="D204" s="12"/>
      <c r="E204" s="12"/>
      <c r="F204" s="13" t="str">
        <f t="shared" si="2"/>
        <v/>
      </c>
    </row>
    <row r="205" ht="15.75" customHeight="1">
      <c r="A205" s="10"/>
      <c r="B205" s="10"/>
      <c r="C205" s="10"/>
      <c r="D205" s="10"/>
      <c r="E205" s="10"/>
      <c r="F205" s="11" t="str">
        <f t="shared" si="2"/>
        <v/>
      </c>
    </row>
    <row r="206" ht="15.75" customHeight="1">
      <c r="A206" s="12"/>
      <c r="B206" s="12"/>
      <c r="C206" s="12"/>
      <c r="D206" s="12"/>
      <c r="E206" s="12"/>
      <c r="F206" s="13" t="str">
        <f t="shared" si="2"/>
        <v/>
      </c>
    </row>
    <row r="207" ht="15.75" customHeight="1">
      <c r="A207" s="10"/>
      <c r="B207" s="10"/>
      <c r="C207" s="10"/>
      <c r="D207" s="10"/>
      <c r="E207" s="10"/>
      <c r="F207" s="11" t="str">
        <f t="shared" si="2"/>
        <v/>
      </c>
    </row>
    <row r="208" ht="15.75" customHeight="1">
      <c r="A208" s="12"/>
      <c r="B208" s="12"/>
      <c r="C208" s="12"/>
      <c r="D208" s="12"/>
      <c r="E208" s="12"/>
      <c r="F208" s="13" t="str">
        <f t="shared" si="2"/>
        <v/>
      </c>
    </row>
    <row r="209" ht="15.75" customHeight="1">
      <c r="A209" s="10"/>
      <c r="B209" s="10"/>
      <c r="C209" s="10"/>
      <c r="D209" s="10"/>
      <c r="E209" s="10"/>
      <c r="F209" s="11" t="str">
        <f t="shared" si="2"/>
        <v/>
      </c>
    </row>
    <row r="210" ht="15.75" customHeight="1">
      <c r="A210" s="12"/>
      <c r="B210" s="12"/>
      <c r="C210" s="12"/>
      <c r="D210" s="12"/>
      <c r="E210" s="12"/>
      <c r="F210" s="13" t="str">
        <f t="shared" si="2"/>
        <v/>
      </c>
    </row>
    <row r="211" ht="15.75" customHeight="1">
      <c r="A211" s="10"/>
      <c r="B211" s="10"/>
      <c r="C211" s="10"/>
      <c r="D211" s="10"/>
      <c r="E211" s="10"/>
      <c r="F211" s="11" t="str">
        <f t="shared" si="2"/>
        <v/>
      </c>
    </row>
    <row r="212" ht="15.75" customHeight="1">
      <c r="A212" s="12"/>
      <c r="B212" s="12"/>
      <c r="C212" s="12"/>
      <c r="D212" s="12"/>
      <c r="E212" s="12"/>
      <c r="F212" s="13" t="str">
        <f t="shared" si="2"/>
        <v/>
      </c>
    </row>
    <row r="213" ht="15.75" customHeight="1">
      <c r="A213" s="10"/>
      <c r="B213" s="10"/>
      <c r="C213" s="10"/>
      <c r="D213" s="10"/>
      <c r="E213" s="10"/>
      <c r="F213" s="11" t="str">
        <f t="shared" si="2"/>
        <v/>
      </c>
    </row>
    <row r="214" ht="15.75" customHeight="1">
      <c r="A214" s="12"/>
      <c r="B214" s="12"/>
      <c r="C214" s="12"/>
      <c r="D214" s="12"/>
      <c r="E214" s="12"/>
      <c r="F214" s="13" t="str">
        <f t="shared" si="2"/>
        <v/>
      </c>
    </row>
    <row r="215" ht="15.75" customHeight="1">
      <c r="A215" s="10"/>
      <c r="B215" s="10"/>
      <c r="C215" s="10"/>
      <c r="D215" s="10"/>
      <c r="E215" s="10"/>
      <c r="F215" s="11" t="str">
        <f t="shared" si="2"/>
        <v/>
      </c>
    </row>
    <row r="216" ht="15.75" customHeight="1">
      <c r="A216" s="12"/>
      <c r="B216" s="12"/>
      <c r="C216" s="12"/>
      <c r="D216" s="12"/>
      <c r="E216" s="12"/>
      <c r="F216" s="13" t="str">
        <f t="shared" si="2"/>
        <v/>
      </c>
    </row>
    <row r="217" ht="15.75" customHeight="1">
      <c r="A217" s="10"/>
      <c r="B217" s="10"/>
      <c r="C217" s="10"/>
      <c r="D217" s="10"/>
      <c r="E217" s="10"/>
      <c r="F217" s="11" t="str">
        <f t="shared" si="2"/>
        <v/>
      </c>
    </row>
    <row r="218" ht="15.75" customHeight="1">
      <c r="A218" s="12"/>
      <c r="B218" s="12"/>
      <c r="C218" s="12"/>
      <c r="D218" s="12"/>
      <c r="E218" s="12"/>
      <c r="F218" s="13" t="str">
        <f t="shared" si="2"/>
        <v/>
      </c>
    </row>
    <row r="219" ht="15.75" customHeight="1">
      <c r="A219" s="10"/>
      <c r="B219" s="10"/>
      <c r="C219" s="10"/>
      <c r="D219" s="10"/>
      <c r="E219" s="10"/>
      <c r="F219" s="11" t="str">
        <f t="shared" si="2"/>
        <v/>
      </c>
    </row>
    <row r="220" ht="15.75" customHeight="1">
      <c r="A220" s="12"/>
      <c r="B220" s="12"/>
      <c r="C220" s="12"/>
      <c r="D220" s="12"/>
      <c r="E220" s="12"/>
      <c r="F220" s="13" t="str">
        <f t="shared" si="2"/>
        <v/>
      </c>
    </row>
    <row r="221" ht="15.75" customHeight="1">
      <c r="A221" s="10"/>
      <c r="B221" s="10"/>
      <c r="C221" s="10"/>
      <c r="D221" s="10"/>
      <c r="E221" s="10"/>
      <c r="F221" s="11" t="str">
        <f t="shared" si="2"/>
        <v/>
      </c>
    </row>
    <row r="222" ht="15.75" customHeight="1">
      <c r="A222" s="12"/>
      <c r="B222" s="12"/>
      <c r="C222" s="12"/>
      <c r="D222" s="12"/>
      <c r="E222" s="12"/>
      <c r="F222" s="13" t="str">
        <f t="shared" si="2"/>
        <v/>
      </c>
    </row>
    <row r="223" ht="15.75" customHeight="1">
      <c r="A223" s="10"/>
      <c r="B223" s="10"/>
      <c r="C223" s="10"/>
      <c r="D223" s="10"/>
      <c r="E223" s="10"/>
      <c r="F223" s="11" t="str">
        <f t="shared" si="2"/>
        <v/>
      </c>
    </row>
    <row r="224" ht="15.75" customHeight="1">
      <c r="A224" s="12"/>
      <c r="B224" s="12"/>
      <c r="C224" s="12"/>
      <c r="D224" s="12"/>
      <c r="E224" s="12"/>
      <c r="F224" s="13" t="str">
        <f t="shared" si="2"/>
        <v/>
      </c>
    </row>
    <row r="225" ht="15.75" customHeight="1">
      <c r="A225" s="10"/>
      <c r="B225" s="10"/>
      <c r="C225" s="10"/>
      <c r="D225" s="10"/>
      <c r="E225" s="10"/>
      <c r="F225" s="11" t="str">
        <f t="shared" si="2"/>
        <v/>
      </c>
    </row>
    <row r="226" ht="15.75" customHeight="1">
      <c r="A226" s="12"/>
      <c r="B226" s="12"/>
      <c r="C226" s="12"/>
      <c r="D226" s="12"/>
      <c r="E226" s="12"/>
      <c r="F226" s="13" t="str">
        <f t="shared" si="2"/>
        <v/>
      </c>
    </row>
    <row r="227" ht="15.75" customHeight="1">
      <c r="A227" s="10"/>
      <c r="B227" s="10"/>
      <c r="C227" s="10"/>
      <c r="D227" s="10"/>
      <c r="E227" s="10"/>
      <c r="F227" s="11" t="str">
        <f t="shared" si="2"/>
        <v/>
      </c>
    </row>
    <row r="228" ht="15.75" customHeight="1">
      <c r="A228" s="12"/>
      <c r="B228" s="12"/>
      <c r="C228" s="12"/>
      <c r="D228" s="12"/>
      <c r="E228" s="12"/>
      <c r="F228" s="13" t="str">
        <f t="shared" si="2"/>
        <v/>
      </c>
    </row>
    <row r="229" ht="15.75" customHeight="1">
      <c r="A229" s="10"/>
      <c r="B229" s="10"/>
      <c r="C229" s="10"/>
      <c r="D229" s="10"/>
      <c r="E229" s="10"/>
      <c r="F229" s="11" t="str">
        <f t="shared" si="2"/>
        <v/>
      </c>
    </row>
    <row r="230" ht="15.75" customHeight="1">
      <c r="A230" s="12"/>
      <c r="B230" s="12"/>
      <c r="C230" s="12"/>
      <c r="D230" s="12"/>
      <c r="E230" s="12"/>
      <c r="F230" s="13" t="str">
        <f t="shared" si="2"/>
        <v/>
      </c>
    </row>
    <row r="231" ht="15.75" customHeight="1">
      <c r="A231" s="10"/>
      <c r="B231" s="10"/>
      <c r="C231" s="10"/>
      <c r="D231" s="10"/>
      <c r="E231" s="10"/>
      <c r="F231" s="11" t="str">
        <f t="shared" si="2"/>
        <v/>
      </c>
    </row>
    <row r="232" ht="15.75" customHeight="1">
      <c r="A232" s="12"/>
      <c r="B232" s="12"/>
      <c r="C232" s="12"/>
      <c r="D232" s="12"/>
      <c r="E232" s="12"/>
      <c r="F232" s="13" t="str">
        <f t="shared" si="2"/>
        <v/>
      </c>
    </row>
    <row r="233" ht="15.75" customHeight="1">
      <c r="A233" s="10"/>
      <c r="B233" s="10"/>
      <c r="C233" s="10"/>
      <c r="D233" s="10"/>
      <c r="E233" s="10"/>
      <c r="F233" s="11" t="str">
        <f t="shared" si="2"/>
        <v/>
      </c>
    </row>
    <row r="234" ht="15.75" customHeight="1">
      <c r="A234" s="12"/>
      <c r="B234" s="12"/>
      <c r="C234" s="12"/>
      <c r="D234" s="12"/>
      <c r="E234" s="12"/>
      <c r="F234" s="13" t="str">
        <f t="shared" si="2"/>
        <v/>
      </c>
    </row>
    <row r="235" ht="15.75" customHeight="1">
      <c r="A235" s="10"/>
      <c r="B235" s="10"/>
      <c r="C235" s="10"/>
      <c r="D235" s="10"/>
      <c r="E235" s="10"/>
      <c r="F235" s="11" t="str">
        <f t="shared" si="2"/>
        <v/>
      </c>
    </row>
    <row r="236" ht="15.75" customHeight="1">
      <c r="A236" s="12"/>
      <c r="B236" s="12"/>
      <c r="C236" s="12"/>
      <c r="D236" s="12"/>
      <c r="E236" s="12"/>
      <c r="F236" s="13" t="str">
        <f t="shared" si="2"/>
        <v/>
      </c>
    </row>
    <row r="237" ht="15.75" customHeight="1">
      <c r="A237" s="10"/>
      <c r="B237" s="10"/>
      <c r="C237" s="10"/>
      <c r="D237" s="10"/>
      <c r="E237" s="10"/>
      <c r="F237" s="11" t="str">
        <f t="shared" si="2"/>
        <v/>
      </c>
    </row>
    <row r="238" ht="15.75" customHeight="1">
      <c r="A238" s="12"/>
      <c r="B238" s="12"/>
      <c r="C238" s="12"/>
      <c r="D238" s="12"/>
      <c r="E238" s="12"/>
      <c r="F238" s="13" t="str">
        <f t="shared" si="2"/>
        <v/>
      </c>
    </row>
    <row r="239" ht="15.75" customHeight="1">
      <c r="A239" s="10"/>
      <c r="B239" s="10"/>
      <c r="C239" s="10"/>
      <c r="D239" s="10"/>
      <c r="E239" s="10"/>
      <c r="F239" s="11" t="str">
        <f t="shared" si="2"/>
        <v/>
      </c>
    </row>
    <row r="240" ht="15.75" customHeight="1">
      <c r="A240" s="12"/>
      <c r="B240" s="12"/>
      <c r="C240" s="12"/>
      <c r="D240" s="12"/>
      <c r="E240" s="12"/>
      <c r="F240" s="13" t="str">
        <f t="shared" si="2"/>
        <v/>
      </c>
    </row>
    <row r="241" ht="15.75" customHeight="1">
      <c r="A241" s="10"/>
      <c r="B241" s="10"/>
      <c r="C241" s="10"/>
      <c r="D241" s="10"/>
      <c r="E241" s="10"/>
      <c r="F241" s="11" t="str">
        <f t="shared" si="2"/>
        <v/>
      </c>
    </row>
    <row r="242" ht="15.75" customHeight="1">
      <c r="A242" s="12"/>
      <c r="B242" s="12"/>
      <c r="C242" s="12"/>
      <c r="D242" s="12"/>
      <c r="E242" s="12"/>
      <c r="F242" s="13" t="str">
        <f t="shared" si="2"/>
        <v/>
      </c>
    </row>
    <row r="243" ht="15.75" customHeight="1">
      <c r="A243" s="10"/>
      <c r="B243" s="10"/>
      <c r="C243" s="10"/>
      <c r="D243" s="10"/>
      <c r="E243" s="10"/>
      <c r="F243" s="11" t="str">
        <f t="shared" si="2"/>
        <v/>
      </c>
    </row>
    <row r="244" ht="15.75" customHeight="1">
      <c r="A244" s="12"/>
      <c r="B244" s="12"/>
      <c r="C244" s="12"/>
      <c r="D244" s="12"/>
      <c r="E244" s="12"/>
      <c r="F244" s="13" t="str">
        <f t="shared" si="2"/>
        <v/>
      </c>
    </row>
    <row r="245" ht="15.75" customHeight="1">
      <c r="A245" s="10"/>
      <c r="B245" s="10"/>
      <c r="C245" s="10"/>
      <c r="D245" s="10"/>
      <c r="E245" s="10"/>
      <c r="F245" s="11" t="str">
        <f t="shared" si="2"/>
        <v/>
      </c>
    </row>
    <row r="246" ht="15.75" customHeight="1">
      <c r="A246" s="12"/>
      <c r="B246" s="12"/>
      <c r="C246" s="12"/>
      <c r="D246" s="12"/>
      <c r="E246" s="12"/>
      <c r="F246" s="13" t="str">
        <f t="shared" si="2"/>
        <v/>
      </c>
    </row>
    <row r="247" ht="15.75" customHeight="1">
      <c r="A247" s="10"/>
      <c r="B247" s="10"/>
      <c r="C247" s="10"/>
      <c r="D247" s="10"/>
      <c r="E247" s="10"/>
      <c r="F247" s="11" t="str">
        <f t="shared" si="2"/>
        <v/>
      </c>
    </row>
    <row r="248" ht="15.75" customHeight="1">
      <c r="A248" s="12"/>
      <c r="B248" s="12"/>
      <c r="C248" s="12"/>
      <c r="D248" s="12"/>
      <c r="E248" s="12"/>
      <c r="F248" s="13" t="str">
        <f t="shared" si="2"/>
        <v/>
      </c>
    </row>
    <row r="249" ht="15.75" customHeight="1">
      <c r="A249" s="10"/>
      <c r="B249" s="10"/>
      <c r="C249" s="10"/>
      <c r="D249" s="10"/>
      <c r="E249" s="10"/>
      <c r="F249" s="11" t="str">
        <f t="shared" si="2"/>
        <v/>
      </c>
    </row>
    <row r="250" ht="15.75" customHeight="1">
      <c r="A250" s="12"/>
      <c r="B250" s="12"/>
      <c r="C250" s="12"/>
      <c r="D250" s="12"/>
      <c r="E250" s="12"/>
      <c r="F250" s="13" t="str">
        <f t="shared" si="2"/>
        <v/>
      </c>
    </row>
    <row r="251" ht="15.75" customHeight="1">
      <c r="A251" s="10"/>
      <c r="B251" s="10"/>
      <c r="C251" s="10"/>
      <c r="D251" s="10"/>
      <c r="E251" s="10"/>
      <c r="F251" s="11" t="str">
        <f t="shared" si="2"/>
        <v/>
      </c>
    </row>
    <row r="252" ht="15.75" customHeight="1">
      <c r="A252" s="12"/>
      <c r="B252" s="12"/>
      <c r="C252" s="12"/>
      <c r="D252" s="12"/>
      <c r="E252" s="12"/>
      <c r="F252" s="13" t="str">
        <f t="shared" si="2"/>
        <v/>
      </c>
    </row>
    <row r="253" ht="15.75" customHeight="1">
      <c r="A253" s="10"/>
      <c r="B253" s="10"/>
      <c r="C253" s="10"/>
      <c r="D253" s="10"/>
      <c r="E253" s="10"/>
      <c r="F253" s="11" t="str">
        <f t="shared" si="2"/>
        <v/>
      </c>
    </row>
    <row r="254" ht="15.75" customHeight="1">
      <c r="A254" s="12"/>
      <c r="B254" s="12"/>
      <c r="C254" s="12"/>
      <c r="D254" s="12"/>
      <c r="E254" s="12"/>
      <c r="F254" s="13" t="str">
        <f t="shared" si="2"/>
        <v/>
      </c>
    </row>
    <row r="255" ht="15.75" customHeight="1">
      <c r="A255" s="10"/>
      <c r="B255" s="10"/>
      <c r="C255" s="10"/>
      <c r="D255" s="10"/>
      <c r="E255" s="10"/>
      <c r="F255" s="11" t="str">
        <f t="shared" si="2"/>
        <v/>
      </c>
    </row>
    <row r="256" ht="15.75" customHeight="1">
      <c r="A256" s="12"/>
      <c r="B256" s="12"/>
      <c r="C256" s="12"/>
      <c r="D256" s="12"/>
      <c r="E256" s="12"/>
      <c r="F256" s="13" t="str">
        <f t="shared" si="2"/>
        <v/>
      </c>
    </row>
    <row r="257" ht="15.75" customHeight="1">
      <c r="A257" s="10"/>
      <c r="B257" s="10"/>
      <c r="C257" s="10"/>
      <c r="D257" s="10"/>
      <c r="E257" s="10"/>
      <c r="F257" s="11" t="str">
        <f t="shared" si="2"/>
        <v/>
      </c>
    </row>
    <row r="258" ht="15.75" customHeight="1">
      <c r="A258" s="12"/>
      <c r="B258" s="12"/>
      <c r="C258" s="12"/>
      <c r="D258" s="12"/>
      <c r="E258" s="12"/>
      <c r="F258" s="13" t="str">
        <f t="shared" si="2"/>
        <v/>
      </c>
    </row>
    <row r="259" ht="15.75" customHeight="1">
      <c r="A259" s="10"/>
      <c r="B259" s="10"/>
      <c r="C259" s="10"/>
      <c r="D259" s="10"/>
      <c r="E259" s="10"/>
      <c r="F259" s="11" t="str">
        <f t="shared" si="2"/>
        <v/>
      </c>
    </row>
    <row r="260" ht="15.75" customHeight="1">
      <c r="A260" s="12"/>
      <c r="B260" s="12"/>
      <c r="C260" s="12"/>
      <c r="D260" s="12"/>
      <c r="E260" s="12"/>
      <c r="F260" s="13" t="str">
        <f t="shared" si="2"/>
        <v/>
      </c>
    </row>
    <row r="261" ht="15.75" customHeight="1">
      <c r="A261" s="10"/>
      <c r="B261" s="10"/>
      <c r="C261" s="10"/>
      <c r="D261" s="10"/>
      <c r="E261" s="10"/>
      <c r="F261" s="11" t="str">
        <f t="shared" si="2"/>
        <v/>
      </c>
    </row>
    <row r="262" ht="15.75" customHeight="1">
      <c r="A262" s="12"/>
      <c r="B262" s="12"/>
      <c r="C262" s="12"/>
      <c r="D262" s="12"/>
      <c r="E262" s="12"/>
      <c r="F262" s="13" t="str">
        <f t="shared" si="2"/>
        <v/>
      </c>
    </row>
    <row r="263" ht="15.75" customHeight="1">
      <c r="A263" s="10"/>
      <c r="B263" s="10"/>
      <c r="C263" s="10"/>
      <c r="D263" s="10"/>
      <c r="E263" s="10"/>
      <c r="F263" s="11" t="str">
        <f t="shared" si="2"/>
        <v/>
      </c>
    </row>
    <row r="264" ht="15.75" customHeight="1">
      <c r="A264" s="12"/>
      <c r="B264" s="12"/>
      <c r="C264" s="12"/>
      <c r="D264" s="12"/>
      <c r="E264" s="12"/>
      <c r="F264" s="13" t="str">
        <f t="shared" si="2"/>
        <v/>
      </c>
    </row>
    <row r="265" ht="15.75" customHeight="1">
      <c r="A265" s="10"/>
      <c r="B265" s="10"/>
      <c r="C265" s="10"/>
      <c r="D265" s="10"/>
      <c r="E265" s="10"/>
      <c r="F265" s="11" t="str">
        <f t="shared" si="2"/>
        <v/>
      </c>
    </row>
    <row r="266" ht="15.75" customHeight="1">
      <c r="A266" s="12"/>
      <c r="B266" s="12"/>
      <c r="C266" s="12"/>
      <c r="D266" s="12"/>
      <c r="E266" s="12"/>
      <c r="F266" s="13" t="str">
        <f t="shared" si="2"/>
        <v/>
      </c>
    </row>
    <row r="267" ht="15.75" customHeight="1">
      <c r="A267" s="10"/>
      <c r="B267" s="10"/>
      <c r="C267" s="10"/>
      <c r="D267" s="10"/>
      <c r="E267" s="10"/>
      <c r="F267" s="11" t="str">
        <f t="shared" si="2"/>
        <v/>
      </c>
    </row>
    <row r="268" ht="15.75" customHeight="1">
      <c r="A268" s="12"/>
      <c r="B268" s="12"/>
      <c r="C268" s="12"/>
      <c r="D268" s="12"/>
      <c r="E268" s="12"/>
      <c r="F268" s="13" t="str">
        <f t="shared" si="2"/>
        <v/>
      </c>
    </row>
    <row r="269" ht="15.75" customHeight="1">
      <c r="A269" s="10"/>
      <c r="B269" s="10"/>
      <c r="C269" s="10"/>
      <c r="D269" s="10"/>
      <c r="E269" s="10"/>
      <c r="F269" s="11" t="str">
        <f t="shared" si="2"/>
        <v/>
      </c>
    </row>
    <row r="270" ht="15.75" customHeight="1">
      <c r="A270" s="12"/>
      <c r="B270" s="12"/>
      <c r="C270" s="12"/>
      <c r="D270" s="12"/>
      <c r="E270" s="12"/>
      <c r="F270" s="13" t="str">
        <f t="shared" si="2"/>
        <v/>
      </c>
    </row>
    <row r="271" ht="15.75" customHeight="1">
      <c r="A271" s="10"/>
      <c r="B271" s="10"/>
      <c r="C271" s="10"/>
      <c r="D271" s="10"/>
      <c r="E271" s="10"/>
      <c r="F271" s="11" t="str">
        <f t="shared" si="2"/>
        <v/>
      </c>
    </row>
    <row r="272" ht="15.75" customHeight="1">
      <c r="A272" s="12"/>
      <c r="B272" s="12"/>
      <c r="C272" s="12"/>
      <c r="D272" s="12"/>
      <c r="E272" s="12"/>
      <c r="F272" s="13" t="str">
        <f t="shared" si="2"/>
        <v/>
      </c>
    </row>
    <row r="273" ht="15.75" customHeight="1">
      <c r="A273" s="10"/>
      <c r="B273" s="10"/>
      <c r="C273" s="10"/>
      <c r="D273" s="10"/>
      <c r="E273" s="10"/>
      <c r="F273" s="11" t="str">
        <f t="shared" si="2"/>
        <v/>
      </c>
    </row>
    <row r="274" ht="15.75" customHeight="1">
      <c r="A274" s="12"/>
      <c r="B274" s="12"/>
      <c r="C274" s="12"/>
      <c r="D274" s="12"/>
      <c r="E274" s="12"/>
      <c r="F274" s="13" t="str">
        <f t="shared" si="2"/>
        <v/>
      </c>
    </row>
    <row r="275" ht="15.75" customHeight="1">
      <c r="A275" s="10"/>
      <c r="B275" s="10"/>
      <c r="C275" s="10"/>
      <c r="D275" s="10"/>
      <c r="E275" s="10"/>
      <c r="F275" s="11" t="str">
        <f t="shared" si="2"/>
        <v/>
      </c>
    </row>
    <row r="276" ht="15.75" customHeight="1">
      <c r="A276" s="12"/>
      <c r="B276" s="12"/>
      <c r="C276" s="12"/>
      <c r="D276" s="12"/>
      <c r="E276" s="12"/>
      <c r="F276" s="13" t="str">
        <f t="shared" si="2"/>
        <v/>
      </c>
    </row>
    <row r="277" ht="15.75" customHeight="1">
      <c r="A277" s="10"/>
      <c r="B277" s="10"/>
      <c r="C277" s="10"/>
      <c r="D277" s="10"/>
      <c r="E277" s="10"/>
      <c r="F277" s="11" t="str">
        <f t="shared" si="2"/>
        <v/>
      </c>
    </row>
    <row r="278" ht="15.75" customHeight="1">
      <c r="A278" s="12"/>
      <c r="B278" s="12"/>
      <c r="C278" s="12"/>
      <c r="D278" s="12"/>
      <c r="E278" s="12"/>
      <c r="F278" s="13" t="str">
        <f t="shared" si="2"/>
        <v/>
      </c>
    </row>
    <row r="279" ht="15.75" customHeight="1">
      <c r="A279" s="10"/>
      <c r="B279" s="10"/>
      <c r="C279" s="10"/>
      <c r="D279" s="10"/>
      <c r="E279" s="10"/>
      <c r="F279" s="11" t="str">
        <f t="shared" si="2"/>
        <v/>
      </c>
    </row>
    <row r="280" ht="15.75" customHeight="1">
      <c r="A280" s="12"/>
      <c r="B280" s="12"/>
      <c r="C280" s="12"/>
      <c r="D280" s="12"/>
      <c r="E280" s="12"/>
      <c r="F280" s="13" t="str">
        <f t="shared" si="2"/>
        <v/>
      </c>
    </row>
    <row r="281" ht="15.75" customHeight="1">
      <c r="A281" s="10"/>
      <c r="B281" s="10"/>
      <c r="C281" s="10"/>
      <c r="D281" s="10"/>
      <c r="E281" s="10"/>
      <c r="F281" s="11" t="str">
        <f t="shared" si="2"/>
        <v/>
      </c>
    </row>
    <row r="282" ht="15.75" customHeight="1">
      <c r="A282" s="12"/>
      <c r="B282" s="12"/>
      <c r="C282" s="12"/>
      <c r="D282" s="12"/>
      <c r="E282" s="12"/>
      <c r="F282" s="13" t="str">
        <f t="shared" si="2"/>
        <v/>
      </c>
    </row>
    <row r="283" ht="15.75" customHeight="1">
      <c r="A283" s="10"/>
      <c r="B283" s="10"/>
      <c r="C283" s="10"/>
      <c r="D283" s="10"/>
      <c r="E283" s="10"/>
      <c r="F283" s="11" t="str">
        <f t="shared" si="2"/>
        <v/>
      </c>
    </row>
    <row r="284" ht="15.75" customHeight="1">
      <c r="A284" s="12"/>
      <c r="B284" s="12"/>
      <c r="C284" s="12"/>
      <c r="D284" s="12"/>
      <c r="E284" s="12"/>
      <c r="F284" s="13" t="str">
        <f t="shared" si="2"/>
        <v/>
      </c>
    </row>
    <row r="285" ht="15.75" customHeight="1">
      <c r="A285" s="10"/>
      <c r="B285" s="10"/>
      <c r="C285" s="10"/>
      <c r="D285" s="10"/>
      <c r="E285" s="10"/>
      <c r="F285" s="11" t="str">
        <f t="shared" si="2"/>
        <v/>
      </c>
    </row>
    <row r="286" ht="15.75" customHeight="1">
      <c r="A286" s="12"/>
      <c r="B286" s="12"/>
      <c r="C286" s="12"/>
      <c r="D286" s="12"/>
      <c r="E286" s="12"/>
      <c r="F286" s="13" t="str">
        <f t="shared" si="2"/>
        <v/>
      </c>
    </row>
    <row r="287" ht="15.75" customHeight="1">
      <c r="A287" s="10"/>
      <c r="B287" s="10"/>
      <c r="C287" s="10"/>
      <c r="D287" s="10"/>
      <c r="E287" s="10"/>
      <c r="F287" s="11" t="str">
        <f t="shared" si="2"/>
        <v/>
      </c>
    </row>
    <row r="288" ht="15.75" customHeight="1">
      <c r="A288" s="12"/>
      <c r="B288" s="12"/>
      <c r="C288" s="12"/>
      <c r="D288" s="12"/>
      <c r="E288" s="12"/>
      <c r="F288" s="13" t="str">
        <f t="shared" si="2"/>
        <v/>
      </c>
    </row>
    <row r="289" ht="15.75" customHeight="1">
      <c r="A289" s="10"/>
      <c r="B289" s="10"/>
      <c r="C289" s="10"/>
      <c r="D289" s="10"/>
      <c r="E289" s="10"/>
      <c r="F289" s="11" t="str">
        <f t="shared" si="2"/>
        <v/>
      </c>
    </row>
    <row r="290" ht="15.75" customHeight="1">
      <c r="A290" s="12"/>
      <c r="B290" s="12"/>
      <c r="C290" s="12"/>
      <c r="D290" s="12"/>
      <c r="E290" s="12"/>
      <c r="F290" s="13" t="str">
        <f t="shared" si="2"/>
        <v/>
      </c>
    </row>
    <row r="291" ht="15.75" customHeight="1">
      <c r="A291" s="10"/>
      <c r="B291" s="10"/>
      <c r="C291" s="10"/>
      <c r="D291" s="10"/>
      <c r="E291" s="10"/>
      <c r="F291" s="11" t="str">
        <f t="shared" si="2"/>
        <v/>
      </c>
    </row>
    <row r="292" ht="15.75" customHeight="1">
      <c r="A292" s="12"/>
      <c r="B292" s="12"/>
      <c r="C292" s="12"/>
      <c r="D292" s="12"/>
      <c r="E292" s="12"/>
      <c r="F292" s="13" t="str">
        <f t="shared" si="2"/>
        <v/>
      </c>
    </row>
    <row r="293" ht="15.75" customHeight="1">
      <c r="A293" s="10"/>
      <c r="B293" s="10"/>
      <c r="C293" s="10"/>
      <c r="D293" s="10"/>
      <c r="E293" s="10"/>
      <c r="F293" s="11" t="str">
        <f t="shared" si="2"/>
        <v/>
      </c>
    </row>
    <row r="294" ht="15.75" customHeight="1">
      <c r="A294" s="12"/>
      <c r="B294" s="12"/>
      <c r="C294" s="12"/>
      <c r="D294" s="12"/>
      <c r="E294" s="12"/>
      <c r="F294" s="13" t="str">
        <f t="shared" si="2"/>
        <v/>
      </c>
    </row>
    <row r="295" ht="15.75" customHeight="1">
      <c r="A295" s="10"/>
      <c r="B295" s="10"/>
      <c r="C295" s="10"/>
      <c r="D295" s="10"/>
      <c r="E295" s="10"/>
      <c r="F295" s="11" t="str">
        <f t="shared" si="2"/>
        <v/>
      </c>
    </row>
    <row r="296" ht="15.75" customHeight="1">
      <c r="A296" s="12"/>
      <c r="B296" s="12"/>
      <c r="C296" s="12"/>
      <c r="D296" s="12"/>
      <c r="E296" s="12"/>
      <c r="F296" s="13" t="str">
        <f t="shared" si="2"/>
        <v/>
      </c>
    </row>
    <row r="297" ht="15.75" customHeight="1">
      <c r="A297" s="10"/>
      <c r="B297" s="10"/>
      <c r="C297" s="10"/>
      <c r="D297" s="10"/>
      <c r="E297" s="10"/>
      <c r="F297" s="11" t="str">
        <f t="shared" si="2"/>
        <v/>
      </c>
    </row>
    <row r="298" ht="15.75" customHeight="1">
      <c r="A298" s="12"/>
      <c r="B298" s="12"/>
      <c r="C298" s="12"/>
      <c r="D298" s="12"/>
      <c r="E298" s="12"/>
      <c r="F298" s="13" t="str">
        <f t="shared" si="2"/>
        <v/>
      </c>
    </row>
    <row r="299" ht="15.75" customHeight="1">
      <c r="A299" s="10"/>
      <c r="B299" s="10"/>
      <c r="C299" s="10"/>
      <c r="D299" s="10"/>
      <c r="E299" s="10"/>
      <c r="F299" s="11" t="str">
        <f t="shared" si="2"/>
        <v/>
      </c>
    </row>
    <row r="300" ht="15.75" customHeight="1">
      <c r="A300" s="12"/>
      <c r="B300" s="12"/>
      <c r="C300" s="12"/>
      <c r="D300" s="12"/>
      <c r="E300" s="12"/>
      <c r="F300" s="13" t="str">
        <f t="shared" si="2"/>
        <v/>
      </c>
    </row>
    <row r="301" ht="15.75" customHeight="1">
      <c r="A301" s="10"/>
      <c r="B301" s="10"/>
      <c r="C301" s="10"/>
      <c r="D301" s="10"/>
      <c r="E301" s="10"/>
      <c r="F301" s="11" t="str">
        <f t="shared" si="2"/>
        <v/>
      </c>
    </row>
    <row r="302" ht="15.75" customHeight="1">
      <c r="A302" s="12"/>
      <c r="B302" s="12"/>
      <c r="C302" s="12"/>
      <c r="D302" s="12"/>
      <c r="E302" s="12"/>
      <c r="F302" s="13" t="str">
        <f t="shared" si="2"/>
        <v/>
      </c>
    </row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F$302"/>
  <mergeCells count="1">
    <mergeCell ref="A1:F1"/>
  </mergeCells>
  <dataValidations>
    <dataValidation type="list" allowBlank="1" sqref="C3:C302">
      <formula1>"Sim,Não"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24.0"/>
    <col customWidth="1" min="3" max="3" width="18.0"/>
    <col customWidth="1" min="4" max="6" width="14.0"/>
    <col customWidth="1" min="7" max="7" width="12.0"/>
    <col customWidth="1" min="8" max="26" width="8.71"/>
  </cols>
  <sheetData>
    <row r="1">
      <c r="A1" s="1" t="s">
        <v>7</v>
      </c>
      <c r="B1" s="2"/>
      <c r="C1" s="2"/>
      <c r="D1" s="2"/>
      <c r="E1" s="2"/>
      <c r="F1" s="2"/>
      <c r="G1" s="3"/>
    </row>
    <row r="2">
      <c r="A2" s="4" t="s">
        <v>1</v>
      </c>
      <c r="B2" s="4" t="s">
        <v>2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</row>
    <row r="3">
      <c r="A3" s="5"/>
      <c r="B3" s="14" t="str">
        <f>IF(A3="","",IFERROR(VLOOKUP(A3,PROFESSORES!A:B,2,FALSE),""))</f>
        <v/>
      </c>
      <c r="C3" s="5"/>
      <c r="D3" s="15"/>
      <c r="E3" s="15"/>
      <c r="F3" s="5"/>
      <c r="G3" s="6" t="str">
        <f t="shared" ref="G3:G502" si="1">IF(OR(A3="",C3="",D3="",E3="",F3=""),"",IF(E3&gt;D3,"Sim","Revisar"))</f>
        <v/>
      </c>
    </row>
    <row r="4">
      <c r="A4" s="7"/>
      <c r="B4" s="16" t="str">
        <f>IF(A4="","",IFERROR(VLOOKUP(A4,PROFESSORES!A:B,2,FALSE),""))</f>
        <v/>
      </c>
      <c r="C4" s="7"/>
      <c r="D4" s="17"/>
      <c r="E4" s="17"/>
      <c r="F4" s="7"/>
      <c r="G4" s="8" t="str">
        <f t="shared" si="1"/>
        <v/>
      </c>
    </row>
    <row r="5">
      <c r="A5" s="10"/>
      <c r="B5" s="18" t="str">
        <f>IF(A5="","",IFERROR(VLOOKUP(A5,PROFESSORES!A:B,2,FALSE),""))</f>
        <v/>
      </c>
      <c r="C5" s="10"/>
      <c r="D5" s="19"/>
      <c r="E5" s="19"/>
      <c r="F5" s="10"/>
      <c r="G5" s="11" t="str">
        <f t="shared" si="1"/>
        <v/>
      </c>
    </row>
    <row r="6">
      <c r="A6" s="12"/>
      <c r="B6" s="20" t="str">
        <f>IF(A6="","",IFERROR(VLOOKUP(A6,PROFESSORES!A:B,2,FALSE),""))</f>
        <v/>
      </c>
      <c r="C6" s="12"/>
      <c r="D6" s="21"/>
      <c r="E6" s="21"/>
      <c r="F6" s="12"/>
      <c r="G6" s="13" t="str">
        <f t="shared" si="1"/>
        <v/>
      </c>
    </row>
    <row r="7">
      <c r="A7" s="10"/>
      <c r="B7" s="18" t="str">
        <f>IF(A7="","",IFERROR(VLOOKUP(A7,PROFESSORES!A:B,2,FALSE),""))</f>
        <v/>
      </c>
      <c r="C7" s="10"/>
      <c r="D7" s="19"/>
      <c r="E7" s="19"/>
      <c r="F7" s="10"/>
      <c r="G7" s="11" t="str">
        <f t="shared" si="1"/>
        <v/>
      </c>
    </row>
    <row r="8">
      <c r="A8" s="12"/>
      <c r="B8" s="20" t="str">
        <f>IF(A8="","",IFERROR(VLOOKUP(A8,PROFESSORES!A:B,2,FALSE),""))</f>
        <v/>
      </c>
      <c r="C8" s="12"/>
      <c r="D8" s="21"/>
      <c r="E8" s="21"/>
      <c r="F8" s="12"/>
      <c r="G8" s="13" t="str">
        <f t="shared" si="1"/>
        <v/>
      </c>
    </row>
    <row r="9">
      <c r="A9" s="10"/>
      <c r="B9" s="18" t="str">
        <f>IF(A9="","",IFERROR(VLOOKUP(A9,PROFESSORES!A:B,2,FALSE),""))</f>
        <v/>
      </c>
      <c r="C9" s="10"/>
      <c r="D9" s="19"/>
      <c r="E9" s="19"/>
      <c r="F9" s="10"/>
      <c r="G9" s="11" t="str">
        <f t="shared" si="1"/>
        <v/>
      </c>
    </row>
    <row r="10">
      <c r="A10" s="12"/>
      <c r="B10" s="20" t="str">
        <f>IF(A10="","",IFERROR(VLOOKUP(A10,PROFESSORES!A:B,2,FALSE),""))</f>
        <v/>
      </c>
      <c r="C10" s="12"/>
      <c r="D10" s="21"/>
      <c r="E10" s="21"/>
      <c r="F10" s="12"/>
      <c r="G10" s="13" t="str">
        <f t="shared" si="1"/>
        <v/>
      </c>
    </row>
    <row r="11">
      <c r="A11" s="10"/>
      <c r="B11" s="18" t="str">
        <f>IF(A11="","",IFERROR(VLOOKUP(A11,PROFESSORES!A:B,2,FALSE),""))</f>
        <v/>
      </c>
      <c r="C11" s="10"/>
      <c r="D11" s="19"/>
      <c r="E11" s="19"/>
      <c r="F11" s="10"/>
      <c r="G11" s="11" t="str">
        <f t="shared" si="1"/>
        <v/>
      </c>
    </row>
    <row r="12">
      <c r="A12" s="12"/>
      <c r="B12" s="20" t="str">
        <f>IF(A12="","",IFERROR(VLOOKUP(A12,PROFESSORES!A:B,2,FALSE),""))</f>
        <v/>
      </c>
      <c r="C12" s="12"/>
      <c r="D12" s="21"/>
      <c r="E12" s="21"/>
      <c r="F12" s="12"/>
      <c r="G12" s="13" t="str">
        <f t="shared" si="1"/>
        <v/>
      </c>
    </row>
    <row r="13">
      <c r="A13" s="10"/>
      <c r="B13" s="18" t="str">
        <f>IF(A13="","",IFERROR(VLOOKUP(A13,PROFESSORES!A:B,2,FALSE),""))</f>
        <v/>
      </c>
      <c r="C13" s="10"/>
      <c r="D13" s="19"/>
      <c r="E13" s="19"/>
      <c r="F13" s="10"/>
      <c r="G13" s="11" t="str">
        <f t="shared" si="1"/>
        <v/>
      </c>
    </row>
    <row r="14">
      <c r="A14" s="12"/>
      <c r="B14" s="20" t="str">
        <f>IF(A14="","",IFERROR(VLOOKUP(A14,PROFESSORES!A:B,2,FALSE),""))</f>
        <v/>
      </c>
      <c r="C14" s="12"/>
      <c r="D14" s="21"/>
      <c r="E14" s="21"/>
      <c r="F14" s="12"/>
      <c r="G14" s="13" t="str">
        <f t="shared" si="1"/>
        <v/>
      </c>
    </row>
    <row r="15">
      <c r="A15" s="10"/>
      <c r="B15" s="18" t="str">
        <f>IF(A15="","",IFERROR(VLOOKUP(A15,PROFESSORES!A:B,2,FALSE),""))</f>
        <v/>
      </c>
      <c r="C15" s="10"/>
      <c r="D15" s="19"/>
      <c r="E15" s="19"/>
      <c r="F15" s="10"/>
      <c r="G15" s="11" t="str">
        <f t="shared" si="1"/>
        <v/>
      </c>
    </row>
    <row r="16">
      <c r="A16" s="12"/>
      <c r="B16" s="20" t="str">
        <f>IF(A16="","",IFERROR(VLOOKUP(A16,PROFESSORES!A:B,2,FALSE),""))</f>
        <v/>
      </c>
      <c r="C16" s="12"/>
      <c r="D16" s="21"/>
      <c r="E16" s="21"/>
      <c r="F16" s="12"/>
      <c r="G16" s="13" t="str">
        <f t="shared" si="1"/>
        <v/>
      </c>
    </row>
    <row r="17">
      <c r="A17" s="10"/>
      <c r="B17" s="18" t="str">
        <f>IF(A17="","",IFERROR(VLOOKUP(A17,PROFESSORES!A:B,2,FALSE),""))</f>
        <v/>
      </c>
      <c r="C17" s="10"/>
      <c r="D17" s="19"/>
      <c r="E17" s="19"/>
      <c r="F17" s="10"/>
      <c r="G17" s="11" t="str">
        <f t="shared" si="1"/>
        <v/>
      </c>
    </row>
    <row r="18">
      <c r="A18" s="12"/>
      <c r="B18" s="20" t="str">
        <f>IF(A18="","",IFERROR(VLOOKUP(A18,PROFESSORES!A:B,2,FALSE),""))</f>
        <v/>
      </c>
      <c r="C18" s="12"/>
      <c r="D18" s="21"/>
      <c r="E18" s="21"/>
      <c r="F18" s="12"/>
      <c r="G18" s="13" t="str">
        <f t="shared" si="1"/>
        <v/>
      </c>
    </row>
    <row r="19">
      <c r="A19" s="10"/>
      <c r="B19" s="18" t="str">
        <f>IF(A19="","",IFERROR(VLOOKUP(A19,PROFESSORES!A:B,2,FALSE),""))</f>
        <v/>
      </c>
      <c r="C19" s="10"/>
      <c r="D19" s="19"/>
      <c r="E19" s="19"/>
      <c r="F19" s="10"/>
      <c r="G19" s="11" t="str">
        <f t="shared" si="1"/>
        <v/>
      </c>
    </row>
    <row r="20">
      <c r="A20" s="12"/>
      <c r="B20" s="20" t="str">
        <f>IF(A20="","",IFERROR(VLOOKUP(A20,PROFESSORES!A:B,2,FALSE),""))</f>
        <v/>
      </c>
      <c r="C20" s="12"/>
      <c r="D20" s="21"/>
      <c r="E20" s="21"/>
      <c r="F20" s="12"/>
      <c r="G20" s="13" t="str">
        <f t="shared" si="1"/>
        <v/>
      </c>
    </row>
    <row r="21" ht="15.75" customHeight="1">
      <c r="A21" s="10"/>
      <c r="B21" s="18" t="str">
        <f>IF(A21="","",IFERROR(VLOOKUP(A21,PROFESSORES!A:B,2,FALSE),""))</f>
        <v/>
      </c>
      <c r="C21" s="10"/>
      <c r="D21" s="19"/>
      <c r="E21" s="19"/>
      <c r="F21" s="10"/>
      <c r="G21" s="11" t="str">
        <f t="shared" si="1"/>
        <v/>
      </c>
    </row>
    <row r="22" ht="15.75" customHeight="1">
      <c r="A22" s="12"/>
      <c r="B22" s="20" t="str">
        <f>IF(A22="","",IFERROR(VLOOKUP(A22,PROFESSORES!A:B,2,FALSE),""))</f>
        <v/>
      </c>
      <c r="C22" s="12"/>
      <c r="D22" s="21"/>
      <c r="E22" s="21"/>
      <c r="F22" s="12"/>
      <c r="G22" s="13" t="str">
        <f t="shared" si="1"/>
        <v/>
      </c>
    </row>
    <row r="23" ht="15.75" customHeight="1">
      <c r="A23" s="10"/>
      <c r="B23" s="18" t="str">
        <f>IF(A23="","",IFERROR(VLOOKUP(A23,PROFESSORES!A:B,2,FALSE),""))</f>
        <v/>
      </c>
      <c r="C23" s="10"/>
      <c r="D23" s="19"/>
      <c r="E23" s="19"/>
      <c r="F23" s="10"/>
      <c r="G23" s="11" t="str">
        <f t="shared" si="1"/>
        <v/>
      </c>
    </row>
    <row r="24" ht="15.75" customHeight="1">
      <c r="A24" s="12"/>
      <c r="B24" s="20" t="str">
        <f>IF(A24="","",IFERROR(VLOOKUP(A24,PROFESSORES!A:B,2,FALSE),""))</f>
        <v/>
      </c>
      <c r="C24" s="12"/>
      <c r="D24" s="21"/>
      <c r="E24" s="21"/>
      <c r="F24" s="12"/>
      <c r="G24" s="13" t="str">
        <f t="shared" si="1"/>
        <v/>
      </c>
    </row>
    <row r="25" ht="15.75" customHeight="1">
      <c r="A25" s="10"/>
      <c r="B25" s="18" t="str">
        <f>IF(A25="","",IFERROR(VLOOKUP(A25,PROFESSORES!A:B,2,FALSE),""))</f>
        <v/>
      </c>
      <c r="C25" s="10"/>
      <c r="D25" s="19"/>
      <c r="E25" s="19"/>
      <c r="F25" s="10"/>
      <c r="G25" s="11" t="str">
        <f t="shared" si="1"/>
        <v/>
      </c>
    </row>
    <row r="26" ht="15.75" customHeight="1">
      <c r="A26" s="12"/>
      <c r="B26" s="20" t="str">
        <f>IF(A26="","",IFERROR(VLOOKUP(A26,PROFESSORES!A:B,2,FALSE),""))</f>
        <v/>
      </c>
      <c r="C26" s="12"/>
      <c r="D26" s="21"/>
      <c r="E26" s="21"/>
      <c r="F26" s="12"/>
      <c r="G26" s="13" t="str">
        <f t="shared" si="1"/>
        <v/>
      </c>
    </row>
    <row r="27" ht="15.75" customHeight="1">
      <c r="A27" s="10"/>
      <c r="B27" s="18" t="str">
        <f>IF(A27="","",IFERROR(VLOOKUP(A27,PROFESSORES!A:B,2,FALSE),""))</f>
        <v/>
      </c>
      <c r="C27" s="10"/>
      <c r="D27" s="19"/>
      <c r="E27" s="19"/>
      <c r="F27" s="10"/>
      <c r="G27" s="11" t="str">
        <f t="shared" si="1"/>
        <v/>
      </c>
    </row>
    <row r="28" ht="15.75" customHeight="1">
      <c r="A28" s="12"/>
      <c r="B28" s="20" t="str">
        <f>IF(A28="","",IFERROR(VLOOKUP(A28,PROFESSORES!A:B,2,FALSE),""))</f>
        <v/>
      </c>
      <c r="C28" s="12"/>
      <c r="D28" s="21"/>
      <c r="E28" s="21"/>
      <c r="F28" s="12"/>
      <c r="G28" s="13" t="str">
        <f t="shared" si="1"/>
        <v/>
      </c>
    </row>
    <row r="29" ht="15.75" customHeight="1">
      <c r="A29" s="10"/>
      <c r="B29" s="18" t="str">
        <f>IF(A29="","",IFERROR(VLOOKUP(A29,PROFESSORES!A:B,2,FALSE),""))</f>
        <v/>
      </c>
      <c r="C29" s="10"/>
      <c r="D29" s="19"/>
      <c r="E29" s="19"/>
      <c r="F29" s="10"/>
      <c r="G29" s="11" t="str">
        <f t="shared" si="1"/>
        <v/>
      </c>
    </row>
    <row r="30" ht="15.75" customHeight="1">
      <c r="A30" s="12"/>
      <c r="B30" s="20" t="str">
        <f>IF(A30="","",IFERROR(VLOOKUP(A30,PROFESSORES!A:B,2,FALSE),""))</f>
        <v/>
      </c>
      <c r="C30" s="12"/>
      <c r="D30" s="21"/>
      <c r="E30" s="21"/>
      <c r="F30" s="12"/>
      <c r="G30" s="13" t="str">
        <f t="shared" si="1"/>
        <v/>
      </c>
    </row>
    <row r="31" ht="15.75" customHeight="1">
      <c r="A31" s="10"/>
      <c r="B31" s="18" t="str">
        <f>IF(A31="","",IFERROR(VLOOKUP(A31,PROFESSORES!A:B,2,FALSE),""))</f>
        <v/>
      </c>
      <c r="C31" s="10"/>
      <c r="D31" s="19"/>
      <c r="E31" s="19"/>
      <c r="F31" s="10"/>
      <c r="G31" s="11" t="str">
        <f t="shared" si="1"/>
        <v/>
      </c>
    </row>
    <row r="32" ht="15.75" customHeight="1">
      <c r="A32" s="12"/>
      <c r="B32" s="20" t="str">
        <f>IF(A32="","",IFERROR(VLOOKUP(A32,PROFESSORES!A:B,2,FALSE),""))</f>
        <v/>
      </c>
      <c r="C32" s="12"/>
      <c r="D32" s="21"/>
      <c r="E32" s="21"/>
      <c r="F32" s="12"/>
      <c r="G32" s="13" t="str">
        <f t="shared" si="1"/>
        <v/>
      </c>
    </row>
    <row r="33" ht="15.75" customHeight="1">
      <c r="A33" s="10"/>
      <c r="B33" s="18" t="str">
        <f>IF(A33="","",IFERROR(VLOOKUP(A33,PROFESSORES!A:B,2,FALSE),""))</f>
        <v/>
      </c>
      <c r="C33" s="10"/>
      <c r="D33" s="19"/>
      <c r="E33" s="19"/>
      <c r="F33" s="10"/>
      <c r="G33" s="11" t="str">
        <f t="shared" si="1"/>
        <v/>
      </c>
    </row>
    <row r="34" ht="15.75" customHeight="1">
      <c r="A34" s="12"/>
      <c r="B34" s="20" t="str">
        <f>IF(A34="","",IFERROR(VLOOKUP(A34,PROFESSORES!A:B,2,FALSE),""))</f>
        <v/>
      </c>
      <c r="C34" s="12"/>
      <c r="D34" s="21"/>
      <c r="E34" s="21"/>
      <c r="F34" s="12"/>
      <c r="G34" s="13" t="str">
        <f t="shared" si="1"/>
        <v/>
      </c>
    </row>
    <row r="35" ht="15.75" customHeight="1">
      <c r="A35" s="10"/>
      <c r="B35" s="18" t="str">
        <f>IF(A35="","",IFERROR(VLOOKUP(A35,PROFESSORES!A:B,2,FALSE),""))</f>
        <v/>
      </c>
      <c r="C35" s="10"/>
      <c r="D35" s="19"/>
      <c r="E35" s="19"/>
      <c r="F35" s="10"/>
      <c r="G35" s="11" t="str">
        <f t="shared" si="1"/>
        <v/>
      </c>
    </row>
    <row r="36" ht="15.75" customHeight="1">
      <c r="A36" s="12"/>
      <c r="B36" s="20" t="str">
        <f>IF(A36="","",IFERROR(VLOOKUP(A36,PROFESSORES!A:B,2,FALSE),""))</f>
        <v/>
      </c>
      <c r="C36" s="12"/>
      <c r="D36" s="21"/>
      <c r="E36" s="21"/>
      <c r="F36" s="12"/>
      <c r="G36" s="13" t="str">
        <f t="shared" si="1"/>
        <v/>
      </c>
    </row>
    <row r="37" ht="15.75" customHeight="1">
      <c r="A37" s="10"/>
      <c r="B37" s="18" t="str">
        <f>IF(A37="","",IFERROR(VLOOKUP(A37,PROFESSORES!A:B,2,FALSE),""))</f>
        <v/>
      </c>
      <c r="C37" s="10"/>
      <c r="D37" s="19"/>
      <c r="E37" s="19"/>
      <c r="F37" s="10"/>
      <c r="G37" s="11" t="str">
        <f t="shared" si="1"/>
        <v/>
      </c>
    </row>
    <row r="38" ht="15.75" customHeight="1">
      <c r="A38" s="12"/>
      <c r="B38" s="20" t="str">
        <f>IF(A38="","",IFERROR(VLOOKUP(A38,PROFESSORES!A:B,2,FALSE),""))</f>
        <v/>
      </c>
      <c r="C38" s="12"/>
      <c r="D38" s="21"/>
      <c r="E38" s="21"/>
      <c r="F38" s="12"/>
      <c r="G38" s="13" t="str">
        <f t="shared" si="1"/>
        <v/>
      </c>
    </row>
    <row r="39" ht="15.75" customHeight="1">
      <c r="A39" s="10"/>
      <c r="B39" s="18" t="str">
        <f>IF(A39="","",IFERROR(VLOOKUP(A39,PROFESSORES!A:B,2,FALSE),""))</f>
        <v/>
      </c>
      <c r="C39" s="10"/>
      <c r="D39" s="19"/>
      <c r="E39" s="19"/>
      <c r="F39" s="10"/>
      <c r="G39" s="11" t="str">
        <f t="shared" si="1"/>
        <v/>
      </c>
    </row>
    <row r="40" ht="15.75" customHeight="1">
      <c r="A40" s="12"/>
      <c r="B40" s="20" t="str">
        <f>IF(A40="","",IFERROR(VLOOKUP(A40,PROFESSORES!A:B,2,FALSE),""))</f>
        <v/>
      </c>
      <c r="C40" s="12"/>
      <c r="D40" s="21"/>
      <c r="E40" s="21"/>
      <c r="F40" s="12"/>
      <c r="G40" s="13" t="str">
        <f t="shared" si="1"/>
        <v/>
      </c>
    </row>
    <row r="41" ht="15.75" customHeight="1">
      <c r="A41" s="10"/>
      <c r="B41" s="18" t="str">
        <f>IF(A41="","",IFERROR(VLOOKUP(A41,PROFESSORES!A:B,2,FALSE),""))</f>
        <v/>
      </c>
      <c r="C41" s="10"/>
      <c r="D41" s="19"/>
      <c r="E41" s="19"/>
      <c r="F41" s="10"/>
      <c r="G41" s="11" t="str">
        <f t="shared" si="1"/>
        <v/>
      </c>
    </row>
    <row r="42" ht="15.75" customHeight="1">
      <c r="A42" s="12"/>
      <c r="B42" s="20" t="str">
        <f>IF(A42="","",IFERROR(VLOOKUP(A42,PROFESSORES!A:B,2,FALSE),""))</f>
        <v/>
      </c>
      <c r="C42" s="12"/>
      <c r="D42" s="21"/>
      <c r="E42" s="21"/>
      <c r="F42" s="12"/>
      <c r="G42" s="13" t="str">
        <f t="shared" si="1"/>
        <v/>
      </c>
    </row>
    <row r="43" ht="15.75" customHeight="1">
      <c r="A43" s="10"/>
      <c r="B43" s="18" t="str">
        <f>IF(A43="","",IFERROR(VLOOKUP(A43,PROFESSORES!A:B,2,FALSE),""))</f>
        <v/>
      </c>
      <c r="C43" s="10"/>
      <c r="D43" s="19"/>
      <c r="E43" s="19"/>
      <c r="F43" s="10"/>
      <c r="G43" s="11" t="str">
        <f t="shared" si="1"/>
        <v/>
      </c>
    </row>
    <row r="44" ht="15.75" customHeight="1">
      <c r="A44" s="12"/>
      <c r="B44" s="20" t="str">
        <f>IF(A44="","",IFERROR(VLOOKUP(A44,PROFESSORES!A:B,2,FALSE),""))</f>
        <v/>
      </c>
      <c r="C44" s="12"/>
      <c r="D44" s="21"/>
      <c r="E44" s="21"/>
      <c r="F44" s="12"/>
      <c r="G44" s="13" t="str">
        <f t="shared" si="1"/>
        <v/>
      </c>
    </row>
    <row r="45" ht="15.75" customHeight="1">
      <c r="A45" s="10"/>
      <c r="B45" s="18" t="str">
        <f>IF(A45="","",IFERROR(VLOOKUP(A45,PROFESSORES!A:B,2,FALSE),""))</f>
        <v/>
      </c>
      <c r="C45" s="10"/>
      <c r="D45" s="19"/>
      <c r="E45" s="19"/>
      <c r="F45" s="10"/>
      <c r="G45" s="11" t="str">
        <f t="shared" si="1"/>
        <v/>
      </c>
    </row>
    <row r="46" ht="15.75" customHeight="1">
      <c r="A46" s="12"/>
      <c r="B46" s="20" t="str">
        <f>IF(A46="","",IFERROR(VLOOKUP(A46,PROFESSORES!A:B,2,FALSE),""))</f>
        <v/>
      </c>
      <c r="C46" s="12"/>
      <c r="D46" s="21"/>
      <c r="E46" s="21"/>
      <c r="F46" s="12"/>
      <c r="G46" s="13" t="str">
        <f t="shared" si="1"/>
        <v/>
      </c>
    </row>
    <row r="47" ht="15.75" customHeight="1">
      <c r="A47" s="10"/>
      <c r="B47" s="18" t="str">
        <f>IF(A47="","",IFERROR(VLOOKUP(A47,PROFESSORES!A:B,2,FALSE),""))</f>
        <v/>
      </c>
      <c r="C47" s="10"/>
      <c r="D47" s="19"/>
      <c r="E47" s="19"/>
      <c r="F47" s="10"/>
      <c r="G47" s="11" t="str">
        <f t="shared" si="1"/>
        <v/>
      </c>
    </row>
    <row r="48" ht="15.75" customHeight="1">
      <c r="A48" s="12"/>
      <c r="B48" s="20" t="str">
        <f>IF(A48="","",IFERROR(VLOOKUP(A48,PROFESSORES!A:B,2,FALSE),""))</f>
        <v/>
      </c>
      <c r="C48" s="12"/>
      <c r="D48" s="21"/>
      <c r="E48" s="21"/>
      <c r="F48" s="12"/>
      <c r="G48" s="13" t="str">
        <f t="shared" si="1"/>
        <v/>
      </c>
    </row>
    <row r="49" ht="15.75" customHeight="1">
      <c r="A49" s="10"/>
      <c r="B49" s="18" t="str">
        <f>IF(A49="","",IFERROR(VLOOKUP(A49,PROFESSORES!A:B,2,FALSE),""))</f>
        <v/>
      </c>
      <c r="C49" s="10"/>
      <c r="D49" s="19"/>
      <c r="E49" s="19"/>
      <c r="F49" s="10"/>
      <c r="G49" s="11" t="str">
        <f t="shared" si="1"/>
        <v/>
      </c>
    </row>
    <row r="50" ht="15.75" customHeight="1">
      <c r="A50" s="12"/>
      <c r="B50" s="20" t="str">
        <f>IF(A50="","",IFERROR(VLOOKUP(A50,PROFESSORES!A:B,2,FALSE),""))</f>
        <v/>
      </c>
      <c r="C50" s="12"/>
      <c r="D50" s="21"/>
      <c r="E50" s="21"/>
      <c r="F50" s="12"/>
      <c r="G50" s="13" t="str">
        <f t="shared" si="1"/>
        <v/>
      </c>
    </row>
    <row r="51" ht="15.75" customHeight="1">
      <c r="A51" s="10"/>
      <c r="B51" s="18" t="str">
        <f>IF(A51="","",IFERROR(VLOOKUP(A51,PROFESSORES!A:B,2,FALSE),""))</f>
        <v/>
      </c>
      <c r="C51" s="10"/>
      <c r="D51" s="19"/>
      <c r="E51" s="19"/>
      <c r="F51" s="10"/>
      <c r="G51" s="11" t="str">
        <f t="shared" si="1"/>
        <v/>
      </c>
    </row>
    <row r="52" ht="15.75" customHeight="1">
      <c r="A52" s="12"/>
      <c r="B52" s="20" t="str">
        <f>IF(A52="","",IFERROR(VLOOKUP(A52,PROFESSORES!A:B,2,FALSE),""))</f>
        <v/>
      </c>
      <c r="C52" s="12"/>
      <c r="D52" s="21"/>
      <c r="E52" s="21"/>
      <c r="F52" s="12"/>
      <c r="G52" s="13" t="str">
        <f t="shared" si="1"/>
        <v/>
      </c>
    </row>
    <row r="53" ht="15.75" customHeight="1">
      <c r="A53" s="10"/>
      <c r="B53" s="18" t="str">
        <f>IF(A53="","",IFERROR(VLOOKUP(A53,PROFESSORES!A:B,2,FALSE),""))</f>
        <v/>
      </c>
      <c r="C53" s="10"/>
      <c r="D53" s="19"/>
      <c r="E53" s="19"/>
      <c r="F53" s="10"/>
      <c r="G53" s="11" t="str">
        <f t="shared" si="1"/>
        <v/>
      </c>
    </row>
    <row r="54" ht="15.75" customHeight="1">
      <c r="A54" s="12"/>
      <c r="B54" s="20" t="str">
        <f>IF(A54="","",IFERROR(VLOOKUP(A54,PROFESSORES!A:B,2,FALSE),""))</f>
        <v/>
      </c>
      <c r="C54" s="12"/>
      <c r="D54" s="21"/>
      <c r="E54" s="21"/>
      <c r="F54" s="12"/>
      <c r="G54" s="13" t="str">
        <f t="shared" si="1"/>
        <v/>
      </c>
    </row>
    <row r="55" ht="15.75" customHeight="1">
      <c r="A55" s="10"/>
      <c r="B55" s="18" t="str">
        <f>IF(A55="","",IFERROR(VLOOKUP(A55,PROFESSORES!A:B,2,FALSE),""))</f>
        <v/>
      </c>
      <c r="C55" s="10"/>
      <c r="D55" s="19"/>
      <c r="E55" s="19"/>
      <c r="F55" s="10"/>
      <c r="G55" s="11" t="str">
        <f t="shared" si="1"/>
        <v/>
      </c>
    </row>
    <row r="56" ht="15.75" customHeight="1">
      <c r="A56" s="12"/>
      <c r="B56" s="20" t="str">
        <f>IF(A56="","",IFERROR(VLOOKUP(A56,PROFESSORES!A:B,2,FALSE),""))</f>
        <v/>
      </c>
      <c r="C56" s="12"/>
      <c r="D56" s="21"/>
      <c r="E56" s="21"/>
      <c r="F56" s="12"/>
      <c r="G56" s="13" t="str">
        <f t="shared" si="1"/>
        <v/>
      </c>
    </row>
    <row r="57" ht="15.75" customHeight="1">
      <c r="A57" s="10"/>
      <c r="B57" s="18" t="str">
        <f>IF(A57="","",IFERROR(VLOOKUP(A57,PROFESSORES!A:B,2,FALSE),""))</f>
        <v/>
      </c>
      <c r="C57" s="10"/>
      <c r="D57" s="19"/>
      <c r="E57" s="19"/>
      <c r="F57" s="10"/>
      <c r="G57" s="11" t="str">
        <f t="shared" si="1"/>
        <v/>
      </c>
    </row>
    <row r="58" ht="15.75" customHeight="1">
      <c r="A58" s="12"/>
      <c r="B58" s="20" t="str">
        <f>IF(A58="","",IFERROR(VLOOKUP(A58,PROFESSORES!A:B,2,FALSE),""))</f>
        <v/>
      </c>
      <c r="C58" s="12"/>
      <c r="D58" s="21"/>
      <c r="E58" s="21"/>
      <c r="F58" s="12"/>
      <c r="G58" s="13" t="str">
        <f t="shared" si="1"/>
        <v/>
      </c>
    </row>
    <row r="59" ht="15.75" customHeight="1">
      <c r="A59" s="10"/>
      <c r="B59" s="18" t="str">
        <f>IF(A59="","",IFERROR(VLOOKUP(A59,PROFESSORES!A:B,2,FALSE),""))</f>
        <v/>
      </c>
      <c r="C59" s="10"/>
      <c r="D59" s="19"/>
      <c r="E59" s="19"/>
      <c r="F59" s="10"/>
      <c r="G59" s="11" t="str">
        <f t="shared" si="1"/>
        <v/>
      </c>
    </row>
    <row r="60" ht="15.75" customHeight="1">
      <c r="A60" s="12"/>
      <c r="B60" s="20" t="str">
        <f>IF(A60="","",IFERROR(VLOOKUP(A60,PROFESSORES!A:B,2,FALSE),""))</f>
        <v/>
      </c>
      <c r="C60" s="12"/>
      <c r="D60" s="21"/>
      <c r="E60" s="21"/>
      <c r="F60" s="12"/>
      <c r="G60" s="13" t="str">
        <f t="shared" si="1"/>
        <v/>
      </c>
    </row>
    <row r="61" ht="15.75" customHeight="1">
      <c r="A61" s="10"/>
      <c r="B61" s="18" t="str">
        <f>IF(A61="","",IFERROR(VLOOKUP(A61,PROFESSORES!A:B,2,FALSE),""))</f>
        <v/>
      </c>
      <c r="C61" s="10"/>
      <c r="D61" s="19"/>
      <c r="E61" s="19"/>
      <c r="F61" s="10"/>
      <c r="G61" s="11" t="str">
        <f t="shared" si="1"/>
        <v/>
      </c>
    </row>
    <row r="62" ht="15.75" customHeight="1">
      <c r="A62" s="12"/>
      <c r="B62" s="20" t="str">
        <f>IF(A62="","",IFERROR(VLOOKUP(A62,PROFESSORES!A:B,2,FALSE),""))</f>
        <v/>
      </c>
      <c r="C62" s="12"/>
      <c r="D62" s="21"/>
      <c r="E62" s="21"/>
      <c r="F62" s="12"/>
      <c r="G62" s="13" t="str">
        <f t="shared" si="1"/>
        <v/>
      </c>
    </row>
    <row r="63" ht="15.75" customHeight="1">
      <c r="A63" s="10"/>
      <c r="B63" s="18" t="str">
        <f>IF(A63="","",IFERROR(VLOOKUP(A63,PROFESSORES!A:B,2,FALSE),""))</f>
        <v/>
      </c>
      <c r="C63" s="10"/>
      <c r="D63" s="19"/>
      <c r="E63" s="19"/>
      <c r="F63" s="10"/>
      <c r="G63" s="11" t="str">
        <f t="shared" si="1"/>
        <v/>
      </c>
    </row>
    <row r="64" ht="15.75" customHeight="1">
      <c r="A64" s="12"/>
      <c r="B64" s="20" t="str">
        <f>IF(A64="","",IFERROR(VLOOKUP(A64,PROFESSORES!A:B,2,FALSE),""))</f>
        <v/>
      </c>
      <c r="C64" s="12"/>
      <c r="D64" s="21"/>
      <c r="E64" s="21"/>
      <c r="F64" s="12"/>
      <c r="G64" s="13" t="str">
        <f t="shared" si="1"/>
        <v/>
      </c>
    </row>
    <row r="65" ht="15.75" customHeight="1">
      <c r="A65" s="10"/>
      <c r="B65" s="18" t="str">
        <f>IF(A65="","",IFERROR(VLOOKUP(A65,PROFESSORES!A:B,2,FALSE),""))</f>
        <v/>
      </c>
      <c r="C65" s="10"/>
      <c r="D65" s="19"/>
      <c r="E65" s="19"/>
      <c r="F65" s="10"/>
      <c r="G65" s="11" t="str">
        <f t="shared" si="1"/>
        <v/>
      </c>
    </row>
    <row r="66" ht="15.75" customHeight="1">
      <c r="A66" s="12"/>
      <c r="B66" s="20" t="str">
        <f>IF(A66="","",IFERROR(VLOOKUP(A66,PROFESSORES!A:B,2,FALSE),""))</f>
        <v/>
      </c>
      <c r="C66" s="12"/>
      <c r="D66" s="21"/>
      <c r="E66" s="21"/>
      <c r="F66" s="12"/>
      <c r="G66" s="13" t="str">
        <f t="shared" si="1"/>
        <v/>
      </c>
    </row>
    <row r="67" ht="15.75" customHeight="1">
      <c r="A67" s="10"/>
      <c r="B67" s="18" t="str">
        <f>IF(A67="","",IFERROR(VLOOKUP(A67,PROFESSORES!A:B,2,FALSE),""))</f>
        <v/>
      </c>
      <c r="C67" s="10"/>
      <c r="D67" s="19"/>
      <c r="E67" s="19"/>
      <c r="F67" s="10"/>
      <c r="G67" s="11" t="str">
        <f t="shared" si="1"/>
        <v/>
      </c>
    </row>
    <row r="68" ht="15.75" customHeight="1">
      <c r="A68" s="12"/>
      <c r="B68" s="20" t="str">
        <f>IF(A68="","",IFERROR(VLOOKUP(A68,PROFESSORES!A:B,2,FALSE),""))</f>
        <v/>
      </c>
      <c r="C68" s="12"/>
      <c r="D68" s="21"/>
      <c r="E68" s="21"/>
      <c r="F68" s="12"/>
      <c r="G68" s="13" t="str">
        <f t="shared" si="1"/>
        <v/>
      </c>
    </row>
    <row r="69" ht="15.75" customHeight="1">
      <c r="A69" s="10"/>
      <c r="B69" s="18" t="str">
        <f>IF(A69="","",IFERROR(VLOOKUP(A69,PROFESSORES!A:B,2,FALSE),""))</f>
        <v/>
      </c>
      <c r="C69" s="10"/>
      <c r="D69" s="19"/>
      <c r="E69" s="19"/>
      <c r="F69" s="10"/>
      <c r="G69" s="11" t="str">
        <f t="shared" si="1"/>
        <v/>
      </c>
    </row>
    <row r="70" ht="15.75" customHeight="1">
      <c r="A70" s="12"/>
      <c r="B70" s="20" t="str">
        <f>IF(A70="","",IFERROR(VLOOKUP(A70,PROFESSORES!A:B,2,FALSE),""))</f>
        <v/>
      </c>
      <c r="C70" s="12"/>
      <c r="D70" s="21"/>
      <c r="E70" s="21"/>
      <c r="F70" s="12"/>
      <c r="G70" s="13" t="str">
        <f t="shared" si="1"/>
        <v/>
      </c>
    </row>
    <row r="71" ht="15.75" customHeight="1">
      <c r="A71" s="10"/>
      <c r="B71" s="18" t="str">
        <f>IF(A71="","",IFERROR(VLOOKUP(A71,PROFESSORES!A:B,2,FALSE),""))</f>
        <v/>
      </c>
      <c r="C71" s="10"/>
      <c r="D71" s="19"/>
      <c r="E71" s="19"/>
      <c r="F71" s="10"/>
      <c r="G71" s="11" t="str">
        <f t="shared" si="1"/>
        <v/>
      </c>
    </row>
    <row r="72" ht="15.75" customHeight="1">
      <c r="A72" s="12"/>
      <c r="B72" s="20" t="str">
        <f>IF(A72="","",IFERROR(VLOOKUP(A72,PROFESSORES!A:B,2,FALSE),""))</f>
        <v/>
      </c>
      <c r="C72" s="12"/>
      <c r="D72" s="21"/>
      <c r="E72" s="21"/>
      <c r="F72" s="12"/>
      <c r="G72" s="13" t="str">
        <f t="shared" si="1"/>
        <v/>
      </c>
    </row>
    <row r="73" ht="15.75" customHeight="1">
      <c r="A73" s="10"/>
      <c r="B73" s="18" t="str">
        <f>IF(A73="","",IFERROR(VLOOKUP(A73,PROFESSORES!A:B,2,FALSE),""))</f>
        <v/>
      </c>
      <c r="C73" s="10"/>
      <c r="D73" s="19"/>
      <c r="E73" s="19"/>
      <c r="F73" s="10"/>
      <c r="G73" s="11" t="str">
        <f t="shared" si="1"/>
        <v/>
      </c>
    </row>
    <row r="74" ht="15.75" customHeight="1">
      <c r="A74" s="12"/>
      <c r="B74" s="20" t="str">
        <f>IF(A74="","",IFERROR(VLOOKUP(A74,PROFESSORES!A:B,2,FALSE),""))</f>
        <v/>
      </c>
      <c r="C74" s="12"/>
      <c r="D74" s="21"/>
      <c r="E74" s="21"/>
      <c r="F74" s="12"/>
      <c r="G74" s="13" t="str">
        <f t="shared" si="1"/>
        <v/>
      </c>
    </row>
    <row r="75" ht="15.75" customHeight="1">
      <c r="A75" s="10"/>
      <c r="B75" s="18" t="str">
        <f>IF(A75="","",IFERROR(VLOOKUP(A75,PROFESSORES!A:B,2,FALSE),""))</f>
        <v/>
      </c>
      <c r="C75" s="10"/>
      <c r="D75" s="19"/>
      <c r="E75" s="19"/>
      <c r="F75" s="10"/>
      <c r="G75" s="11" t="str">
        <f t="shared" si="1"/>
        <v/>
      </c>
    </row>
    <row r="76" ht="15.75" customHeight="1">
      <c r="A76" s="12"/>
      <c r="B76" s="20" t="str">
        <f>IF(A76="","",IFERROR(VLOOKUP(A76,PROFESSORES!A:B,2,FALSE),""))</f>
        <v/>
      </c>
      <c r="C76" s="12"/>
      <c r="D76" s="21"/>
      <c r="E76" s="21"/>
      <c r="F76" s="12"/>
      <c r="G76" s="13" t="str">
        <f t="shared" si="1"/>
        <v/>
      </c>
    </row>
    <row r="77" ht="15.75" customHeight="1">
      <c r="A77" s="10"/>
      <c r="B77" s="18" t="str">
        <f>IF(A77="","",IFERROR(VLOOKUP(A77,PROFESSORES!A:B,2,FALSE),""))</f>
        <v/>
      </c>
      <c r="C77" s="10"/>
      <c r="D77" s="19"/>
      <c r="E77" s="19"/>
      <c r="F77" s="10"/>
      <c r="G77" s="11" t="str">
        <f t="shared" si="1"/>
        <v/>
      </c>
    </row>
    <row r="78" ht="15.75" customHeight="1">
      <c r="A78" s="12"/>
      <c r="B78" s="20" t="str">
        <f>IF(A78="","",IFERROR(VLOOKUP(A78,PROFESSORES!A:B,2,FALSE),""))</f>
        <v/>
      </c>
      <c r="C78" s="12"/>
      <c r="D78" s="21"/>
      <c r="E78" s="21"/>
      <c r="F78" s="12"/>
      <c r="G78" s="13" t="str">
        <f t="shared" si="1"/>
        <v/>
      </c>
    </row>
    <row r="79" ht="15.75" customHeight="1">
      <c r="A79" s="10"/>
      <c r="B79" s="18" t="str">
        <f>IF(A79="","",IFERROR(VLOOKUP(A79,PROFESSORES!A:B,2,FALSE),""))</f>
        <v/>
      </c>
      <c r="C79" s="10"/>
      <c r="D79" s="19"/>
      <c r="E79" s="19"/>
      <c r="F79" s="10"/>
      <c r="G79" s="11" t="str">
        <f t="shared" si="1"/>
        <v/>
      </c>
    </row>
    <row r="80" ht="15.75" customHeight="1">
      <c r="A80" s="12"/>
      <c r="B80" s="20" t="str">
        <f>IF(A80="","",IFERROR(VLOOKUP(A80,PROFESSORES!A:B,2,FALSE),""))</f>
        <v/>
      </c>
      <c r="C80" s="12"/>
      <c r="D80" s="21"/>
      <c r="E80" s="21"/>
      <c r="F80" s="12"/>
      <c r="G80" s="13" t="str">
        <f t="shared" si="1"/>
        <v/>
      </c>
    </row>
    <row r="81" ht="15.75" customHeight="1">
      <c r="A81" s="10"/>
      <c r="B81" s="18" t="str">
        <f>IF(A81="","",IFERROR(VLOOKUP(A81,PROFESSORES!A:B,2,FALSE),""))</f>
        <v/>
      </c>
      <c r="C81" s="10"/>
      <c r="D81" s="19"/>
      <c r="E81" s="19"/>
      <c r="F81" s="10"/>
      <c r="G81" s="11" t="str">
        <f t="shared" si="1"/>
        <v/>
      </c>
    </row>
    <row r="82" ht="15.75" customHeight="1">
      <c r="A82" s="12"/>
      <c r="B82" s="20" t="str">
        <f>IF(A82="","",IFERROR(VLOOKUP(A82,PROFESSORES!A:B,2,FALSE),""))</f>
        <v/>
      </c>
      <c r="C82" s="12"/>
      <c r="D82" s="21"/>
      <c r="E82" s="21"/>
      <c r="F82" s="12"/>
      <c r="G82" s="13" t="str">
        <f t="shared" si="1"/>
        <v/>
      </c>
    </row>
    <row r="83" ht="15.75" customHeight="1">
      <c r="A83" s="10"/>
      <c r="B83" s="18" t="str">
        <f>IF(A83="","",IFERROR(VLOOKUP(A83,PROFESSORES!A:B,2,FALSE),""))</f>
        <v/>
      </c>
      <c r="C83" s="10"/>
      <c r="D83" s="19"/>
      <c r="E83" s="19"/>
      <c r="F83" s="10"/>
      <c r="G83" s="11" t="str">
        <f t="shared" si="1"/>
        <v/>
      </c>
    </row>
    <row r="84" ht="15.75" customHeight="1">
      <c r="A84" s="12"/>
      <c r="B84" s="20" t="str">
        <f>IF(A84="","",IFERROR(VLOOKUP(A84,PROFESSORES!A:B,2,FALSE),""))</f>
        <v/>
      </c>
      <c r="C84" s="12"/>
      <c r="D84" s="21"/>
      <c r="E84" s="21"/>
      <c r="F84" s="12"/>
      <c r="G84" s="13" t="str">
        <f t="shared" si="1"/>
        <v/>
      </c>
    </row>
    <row r="85" ht="15.75" customHeight="1">
      <c r="A85" s="10"/>
      <c r="B85" s="18" t="str">
        <f>IF(A85="","",IFERROR(VLOOKUP(A85,PROFESSORES!A:B,2,FALSE),""))</f>
        <v/>
      </c>
      <c r="C85" s="10"/>
      <c r="D85" s="19"/>
      <c r="E85" s="19"/>
      <c r="F85" s="10"/>
      <c r="G85" s="11" t="str">
        <f t="shared" si="1"/>
        <v/>
      </c>
    </row>
    <row r="86" ht="15.75" customHeight="1">
      <c r="A86" s="12"/>
      <c r="B86" s="20" t="str">
        <f>IF(A86="","",IFERROR(VLOOKUP(A86,PROFESSORES!A:B,2,FALSE),""))</f>
        <v/>
      </c>
      <c r="C86" s="12"/>
      <c r="D86" s="21"/>
      <c r="E86" s="21"/>
      <c r="F86" s="12"/>
      <c r="G86" s="13" t="str">
        <f t="shared" si="1"/>
        <v/>
      </c>
    </row>
    <row r="87" ht="15.75" customHeight="1">
      <c r="A87" s="10"/>
      <c r="B87" s="18" t="str">
        <f>IF(A87="","",IFERROR(VLOOKUP(A87,PROFESSORES!A:B,2,FALSE),""))</f>
        <v/>
      </c>
      <c r="C87" s="10"/>
      <c r="D87" s="19"/>
      <c r="E87" s="19"/>
      <c r="F87" s="10"/>
      <c r="G87" s="11" t="str">
        <f t="shared" si="1"/>
        <v/>
      </c>
    </row>
    <row r="88" ht="15.75" customHeight="1">
      <c r="A88" s="12"/>
      <c r="B88" s="20" t="str">
        <f>IF(A88="","",IFERROR(VLOOKUP(A88,PROFESSORES!A:B,2,FALSE),""))</f>
        <v/>
      </c>
      <c r="C88" s="12"/>
      <c r="D88" s="21"/>
      <c r="E88" s="21"/>
      <c r="F88" s="12"/>
      <c r="G88" s="13" t="str">
        <f t="shared" si="1"/>
        <v/>
      </c>
    </row>
    <row r="89" ht="15.75" customHeight="1">
      <c r="A89" s="10"/>
      <c r="B89" s="18" t="str">
        <f>IF(A89="","",IFERROR(VLOOKUP(A89,PROFESSORES!A:B,2,FALSE),""))</f>
        <v/>
      </c>
      <c r="C89" s="10"/>
      <c r="D89" s="19"/>
      <c r="E89" s="19"/>
      <c r="F89" s="10"/>
      <c r="G89" s="11" t="str">
        <f t="shared" si="1"/>
        <v/>
      </c>
    </row>
    <row r="90" ht="15.75" customHeight="1">
      <c r="A90" s="12"/>
      <c r="B90" s="20" t="str">
        <f>IF(A90="","",IFERROR(VLOOKUP(A90,PROFESSORES!A:B,2,FALSE),""))</f>
        <v/>
      </c>
      <c r="C90" s="12"/>
      <c r="D90" s="21"/>
      <c r="E90" s="21"/>
      <c r="F90" s="12"/>
      <c r="G90" s="13" t="str">
        <f t="shared" si="1"/>
        <v/>
      </c>
    </row>
    <row r="91" ht="15.75" customHeight="1">
      <c r="A91" s="10"/>
      <c r="B91" s="18" t="str">
        <f>IF(A91="","",IFERROR(VLOOKUP(A91,PROFESSORES!A:B,2,FALSE),""))</f>
        <v/>
      </c>
      <c r="C91" s="10"/>
      <c r="D91" s="19"/>
      <c r="E91" s="19"/>
      <c r="F91" s="10"/>
      <c r="G91" s="11" t="str">
        <f t="shared" si="1"/>
        <v/>
      </c>
    </row>
    <row r="92" ht="15.75" customHeight="1">
      <c r="A92" s="12"/>
      <c r="B92" s="20" t="str">
        <f>IF(A92="","",IFERROR(VLOOKUP(A92,PROFESSORES!A:B,2,FALSE),""))</f>
        <v/>
      </c>
      <c r="C92" s="12"/>
      <c r="D92" s="21"/>
      <c r="E92" s="21"/>
      <c r="F92" s="12"/>
      <c r="G92" s="13" t="str">
        <f t="shared" si="1"/>
        <v/>
      </c>
    </row>
    <row r="93" ht="15.75" customHeight="1">
      <c r="A93" s="10"/>
      <c r="B93" s="18" t="str">
        <f>IF(A93="","",IFERROR(VLOOKUP(A93,PROFESSORES!A:B,2,FALSE),""))</f>
        <v/>
      </c>
      <c r="C93" s="10"/>
      <c r="D93" s="19"/>
      <c r="E93" s="19"/>
      <c r="F93" s="10"/>
      <c r="G93" s="11" t="str">
        <f t="shared" si="1"/>
        <v/>
      </c>
    </row>
    <row r="94" ht="15.75" customHeight="1">
      <c r="A94" s="12"/>
      <c r="B94" s="20" t="str">
        <f>IF(A94="","",IFERROR(VLOOKUP(A94,PROFESSORES!A:B,2,FALSE),""))</f>
        <v/>
      </c>
      <c r="C94" s="12"/>
      <c r="D94" s="21"/>
      <c r="E94" s="21"/>
      <c r="F94" s="12"/>
      <c r="G94" s="13" t="str">
        <f t="shared" si="1"/>
        <v/>
      </c>
    </row>
    <row r="95" ht="15.75" customHeight="1">
      <c r="A95" s="10"/>
      <c r="B95" s="18" t="str">
        <f>IF(A95="","",IFERROR(VLOOKUP(A95,PROFESSORES!A:B,2,FALSE),""))</f>
        <v/>
      </c>
      <c r="C95" s="10"/>
      <c r="D95" s="19"/>
      <c r="E95" s="19"/>
      <c r="F95" s="10"/>
      <c r="G95" s="11" t="str">
        <f t="shared" si="1"/>
        <v/>
      </c>
    </row>
    <row r="96" ht="15.75" customHeight="1">
      <c r="A96" s="12"/>
      <c r="B96" s="20" t="str">
        <f>IF(A96="","",IFERROR(VLOOKUP(A96,PROFESSORES!A:B,2,FALSE),""))</f>
        <v/>
      </c>
      <c r="C96" s="12"/>
      <c r="D96" s="21"/>
      <c r="E96" s="21"/>
      <c r="F96" s="12"/>
      <c r="G96" s="13" t="str">
        <f t="shared" si="1"/>
        <v/>
      </c>
    </row>
    <row r="97" ht="15.75" customHeight="1">
      <c r="A97" s="10"/>
      <c r="B97" s="18" t="str">
        <f>IF(A97="","",IFERROR(VLOOKUP(A97,PROFESSORES!A:B,2,FALSE),""))</f>
        <v/>
      </c>
      <c r="C97" s="10"/>
      <c r="D97" s="19"/>
      <c r="E97" s="19"/>
      <c r="F97" s="10"/>
      <c r="G97" s="11" t="str">
        <f t="shared" si="1"/>
        <v/>
      </c>
    </row>
    <row r="98" ht="15.75" customHeight="1">
      <c r="A98" s="12"/>
      <c r="B98" s="20" t="str">
        <f>IF(A98="","",IFERROR(VLOOKUP(A98,PROFESSORES!A:B,2,FALSE),""))</f>
        <v/>
      </c>
      <c r="C98" s="12"/>
      <c r="D98" s="21"/>
      <c r="E98" s="21"/>
      <c r="F98" s="12"/>
      <c r="G98" s="13" t="str">
        <f t="shared" si="1"/>
        <v/>
      </c>
    </row>
    <row r="99" ht="15.75" customHeight="1">
      <c r="A99" s="10"/>
      <c r="B99" s="18" t="str">
        <f>IF(A99="","",IFERROR(VLOOKUP(A99,PROFESSORES!A:B,2,FALSE),""))</f>
        <v/>
      </c>
      <c r="C99" s="10"/>
      <c r="D99" s="19"/>
      <c r="E99" s="19"/>
      <c r="F99" s="10"/>
      <c r="G99" s="11" t="str">
        <f t="shared" si="1"/>
        <v/>
      </c>
    </row>
    <row r="100" ht="15.75" customHeight="1">
      <c r="A100" s="12"/>
      <c r="B100" s="20" t="str">
        <f>IF(A100="","",IFERROR(VLOOKUP(A100,PROFESSORES!A:B,2,FALSE),""))</f>
        <v/>
      </c>
      <c r="C100" s="12"/>
      <c r="D100" s="21"/>
      <c r="E100" s="21"/>
      <c r="F100" s="12"/>
      <c r="G100" s="13" t="str">
        <f t="shared" si="1"/>
        <v/>
      </c>
    </row>
    <row r="101" ht="15.75" customHeight="1">
      <c r="A101" s="10"/>
      <c r="B101" s="18" t="str">
        <f>IF(A101="","",IFERROR(VLOOKUP(A101,PROFESSORES!A:B,2,FALSE),""))</f>
        <v/>
      </c>
      <c r="C101" s="10"/>
      <c r="D101" s="19"/>
      <c r="E101" s="19"/>
      <c r="F101" s="10"/>
      <c r="G101" s="11" t="str">
        <f t="shared" si="1"/>
        <v/>
      </c>
    </row>
    <row r="102" ht="15.75" customHeight="1">
      <c r="A102" s="12"/>
      <c r="B102" s="20" t="str">
        <f>IF(A102="","",IFERROR(VLOOKUP(A102,PROFESSORES!A:B,2,FALSE),""))</f>
        <v/>
      </c>
      <c r="C102" s="12"/>
      <c r="D102" s="21"/>
      <c r="E102" s="21"/>
      <c r="F102" s="12"/>
      <c r="G102" s="13" t="str">
        <f t="shared" si="1"/>
        <v/>
      </c>
    </row>
    <row r="103" ht="15.75" customHeight="1">
      <c r="A103" s="10"/>
      <c r="B103" s="18" t="str">
        <f>IF(A103="","",IFERROR(VLOOKUP(A103,PROFESSORES!A:B,2,FALSE),""))</f>
        <v/>
      </c>
      <c r="C103" s="10"/>
      <c r="D103" s="19"/>
      <c r="E103" s="19"/>
      <c r="F103" s="10"/>
      <c r="G103" s="11" t="str">
        <f t="shared" si="1"/>
        <v/>
      </c>
    </row>
    <row r="104" ht="15.75" customHeight="1">
      <c r="A104" s="12"/>
      <c r="B104" s="20" t="str">
        <f>IF(A104="","",IFERROR(VLOOKUP(A104,PROFESSORES!A:B,2,FALSE),""))</f>
        <v/>
      </c>
      <c r="C104" s="12"/>
      <c r="D104" s="21"/>
      <c r="E104" s="21"/>
      <c r="F104" s="12"/>
      <c r="G104" s="13" t="str">
        <f t="shared" si="1"/>
        <v/>
      </c>
    </row>
    <row r="105" ht="15.75" customHeight="1">
      <c r="A105" s="10"/>
      <c r="B105" s="18" t="str">
        <f>IF(A105="","",IFERROR(VLOOKUP(A105,PROFESSORES!A:B,2,FALSE),""))</f>
        <v/>
      </c>
      <c r="C105" s="10"/>
      <c r="D105" s="19"/>
      <c r="E105" s="19"/>
      <c r="F105" s="10"/>
      <c r="G105" s="11" t="str">
        <f t="shared" si="1"/>
        <v/>
      </c>
    </row>
    <row r="106" ht="15.75" customHeight="1">
      <c r="A106" s="12"/>
      <c r="B106" s="20" t="str">
        <f>IF(A106="","",IFERROR(VLOOKUP(A106,PROFESSORES!A:B,2,FALSE),""))</f>
        <v/>
      </c>
      <c r="C106" s="12"/>
      <c r="D106" s="21"/>
      <c r="E106" s="21"/>
      <c r="F106" s="12"/>
      <c r="G106" s="13" t="str">
        <f t="shared" si="1"/>
        <v/>
      </c>
    </row>
    <row r="107" ht="15.75" customHeight="1">
      <c r="A107" s="10"/>
      <c r="B107" s="18" t="str">
        <f>IF(A107="","",IFERROR(VLOOKUP(A107,PROFESSORES!A:B,2,FALSE),""))</f>
        <v/>
      </c>
      <c r="C107" s="10"/>
      <c r="D107" s="19"/>
      <c r="E107" s="19"/>
      <c r="F107" s="10"/>
      <c r="G107" s="11" t="str">
        <f t="shared" si="1"/>
        <v/>
      </c>
    </row>
    <row r="108" ht="15.75" customHeight="1">
      <c r="A108" s="12"/>
      <c r="B108" s="20" t="str">
        <f>IF(A108="","",IFERROR(VLOOKUP(A108,PROFESSORES!A:B,2,FALSE),""))</f>
        <v/>
      </c>
      <c r="C108" s="12"/>
      <c r="D108" s="21"/>
      <c r="E108" s="21"/>
      <c r="F108" s="12"/>
      <c r="G108" s="13" t="str">
        <f t="shared" si="1"/>
        <v/>
      </c>
    </row>
    <row r="109" ht="15.75" customHeight="1">
      <c r="A109" s="10"/>
      <c r="B109" s="18" t="str">
        <f>IF(A109="","",IFERROR(VLOOKUP(A109,PROFESSORES!A:B,2,FALSE),""))</f>
        <v/>
      </c>
      <c r="C109" s="10"/>
      <c r="D109" s="19"/>
      <c r="E109" s="19"/>
      <c r="F109" s="10"/>
      <c r="G109" s="11" t="str">
        <f t="shared" si="1"/>
        <v/>
      </c>
    </row>
    <row r="110" ht="15.75" customHeight="1">
      <c r="A110" s="12"/>
      <c r="B110" s="20" t="str">
        <f>IF(A110="","",IFERROR(VLOOKUP(A110,PROFESSORES!A:B,2,FALSE),""))</f>
        <v/>
      </c>
      <c r="C110" s="12"/>
      <c r="D110" s="21"/>
      <c r="E110" s="21"/>
      <c r="F110" s="12"/>
      <c r="G110" s="13" t="str">
        <f t="shared" si="1"/>
        <v/>
      </c>
    </row>
    <row r="111" ht="15.75" customHeight="1">
      <c r="A111" s="10"/>
      <c r="B111" s="18" t="str">
        <f>IF(A111="","",IFERROR(VLOOKUP(A111,PROFESSORES!A:B,2,FALSE),""))</f>
        <v/>
      </c>
      <c r="C111" s="10"/>
      <c r="D111" s="19"/>
      <c r="E111" s="19"/>
      <c r="F111" s="10"/>
      <c r="G111" s="11" t="str">
        <f t="shared" si="1"/>
        <v/>
      </c>
    </row>
    <row r="112" ht="15.75" customHeight="1">
      <c r="A112" s="12"/>
      <c r="B112" s="20" t="str">
        <f>IF(A112="","",IFERROR(VLOOKUP(A112,PROFESSORES!A:B,2,FALSE),""))</f>
        <v/>
      </c>
      <c r="C112" s="12"/>
      <c r="D112" s="21"/>
      <c r="E112" s="21"/>
      <c r="F112" s="12"/>
      <c r="G112" s="13" t="str">
        <f t="shared" si="1"/>
        <v/>
      </c>
    </row>
    <row r="113" ht="15.75" customHeight="1">
      <c r="A113" s="10"/>
      <c r="B113" s="18" t="str">
        <f>IF(A113="","",IFERROR(VLOOKUP(A113,PROFESSORES!A:B,2,FALSE),""))</f>
        <v/>
      </c>
      <c r="C113" s="10"/>
      <c r="D113" s="19"/>
      <c r="E113" s="19"/>
      <c r="F113" s="10"/>
      <c r="G113" s="11" t="str">
        <f t="shared" si="1"/>
        <v/>
      </c>
    </row>
    <row r="114" ht="15.75" customHeight="1">
      <c r="A114" s="12"/>
      <c r="B114" s="20" t="str">
        <f>IF(A114="","",IFERROR(VLOOKUP(A114,PROFESSORES!A:B,2,FALSE),""))</f>
        <v/>
      </c>
      <c r="C114" s="12"/>
      <c r="D114" s="21"/>
      <c r="E114" s="21"/>
      <c r="F114" s="12"/>
      <c r="G114" s="13" t="str">
        <f t="shared" si="1"/>
        <v/>
      </c>
    </row>
    <row r="115" ht="15.75" customHeight="1">
      <c r="A115" s="10"/>
      <c r="B115" s="18" t="str">
        <f>IF(A115="","",IFERROR(VLOOKUP(A115,PROFESSORES!A:B,2,FALSE),""))</f>
        <v/>
      </c>
      <c r="C115" s="10"/>
      <c r="D115" s="19"/>
      <c r="E115" s="19"/>
      <c r="F115" s="10"/>
      <c r="G115" s="11" t="str">
        <f t="shared" si="1"/>
        <v/>
      </c>
    </row>
    <row r="116" ht="15.75" customHeight="1">
      <c r="A116" s="12"/>
      <c r="B116" s="20" t="str">
        <f>IF(A116="","",IFERROR(VLOOKUP(A116,PROFESSORES!A:B,2,FALSE),""))</f>
        <v/>
      </c>
      <c r="C116" s="12"/>
      <c r="D116" s="21"/>
      <c r="E116" s="21"/>
      <c r="F116" s="12"/>
      <c r="G116" s="13" t="str">
        <f t="shared" si="1"/>
        <v/>
      </c>
    </row>
    <row r="117" ht="15.75" customHeight="1">
      <c r="A117" s="10"/>
      <c r="B117" s="18" t="str">
        <f>IF(A117="","",IFERROR(VLOOKUP(A117,PROFESSORES!A:B,2,FALSE),""))</f>
        <v/>
      </c>
      <c r="C117" s="10"/>
      <c r="D117" s="19"/>
      <c r="E117" s="19"/>
      <c r="F117" s="10"/>
      <c r="G117" s="11" t="str">
        <f t="shared" si="1"/>
        <v/>
      </c>
    </row>
    <row r="118" ht="15.75" customHeight="1">
      <c r="A118" s="12"/>
      <c r="B118" s="20" t="str">
        <f>IF(A118="","",IFERROR(VLOOKUP(A118,PROFESSORES!A:B,2,FALSE),""))</f>
        <v/>
      </c>
      <c r="C118" s="12"/>
      <c r="D118" s="21"/>
      <c r="E118" s="21"/>
      <c r="F118" s="12"/>
      <c r="G118" s="13" t="str">
        <f t="shared" si="1"/>
        <v/>
      </c>
    </row>
    <row r="119" ht="15.75" customHeight="1">
      <c r="A119" s="10"/>
      <c r="B119" s="18" t="str">
        <f>IF(A119="","",IFERROR(VLOOKUP(A119,PROFESSORES!A:B,2,FALSE),""))</f>
        <v/>
      </c>
      <c r="C119" s="10"/>
      <c r="D119" s="19"/>
      <c r="E119" s="19"/>
      <c r="F119" s="10"/>
      <c r="G119" s="11" t="str">
        <f t="shared" si="1"/>
        <v/>
      </c>
    </row>
    <row r="120" ht="15.75" customHeight="1">
      <c r="A120" s="12"/>
      <c r="B120" s="20" t="str">
        <f>IF(A120="","",IFERROR(VLOOKUP(A120,PROFESSORES!A:B,2,FALSE),""))</f>
        <v/>
      </c>
      <c r="C120" s="12"/>
      <c r="D120" s="21"/>
      <c r="E120" s="21"/>
      <c r="F120" s="12"/>
      <c r="G120" s="13" t="str">
        <f t="shared" si="1"/>
        <v/>
      </c>
    </row>
    <row r="121" ht="15.75" customHeight="1">
      <c r="A121" s="10"/>
      <c r="B121" s="18" t="str">
        <f>IF(A121="","",IFERROR(VLOOKUP(A121,PROFESSORES!A:B,2,FALSE),""))</f>
        <v/>
      </c>
      <c r="C121" s="10"/>
      <c r="D121" s="19"/>
      <c r="E121" s="19"/>
      <c r="F121" s="10"/>
      <c r="G121" s="11" t="str">
        <f t="shared" si="1"/>
        <v/>
      </c>
    </row>
    <row r="122" ht="15.75" customHeight="1">
      <c r="A122" s="12"/>
      <c r="B122" s="20" t="str">
        <f>IF(A122="","",IFERROR(VLOOKUP(A122,PROFESSORES!A:B,2,FALSE),""))</f>
        <v/>
      </c>
      <c r="C122" s="12"/>
      <c r="D122" s="21"/>
      <c r="E122" s="21"/>
      <c r="F122" s="12"/>
      <c r="G122" s="13" t="str">
        <f t="shared" si="1"/>
        <v/>
      </c>
    </row>
    <row r="123" ht="15.75" customHeight="1">
      <c r="A123" s="10"/>
      <c r="B123" s="18" t="str">
        <f>IF(A123="","",IFERROR(VLOOKUP(A123,PROFESSORES!A:B,2,FALSE),""))</f>
        <v/>
      </c>
      <c r="C123" s="10"/>
      <c r="D123" s="19"/>
      <c r="E123" s="19"/>
      <c r="F123" s="10"/>
      <c r="G123" s="11" t="str">
        <f t="shared" si="1"/>
        <v/>
      </c>
    </row>
    <row r="124" ht="15.75" customHeight="1">
      <c r="A124" s="12"/>
      <c r="B124" s="20" t="str">
        <f>IF(A124="","",IFERROR(VLOOKUP(A124,PROFESSORES!A:B,2,FALSE),""))</f>
        <v/>
      </c>
      <c r="C124" s="12"/>
      <c r="D124" s="21"/>
      <c r="E124" s="21"/>
      <c r="F124" s="12"/>
      <c r="G124" s="13" t="str">
        <f t="shared" si="1"/>
        <v/>
      </c>
    </row>
    <row r="125" ht="15.75" customHeight="1">
      <c r="A125" s="10"/>
      <c r="B125" s="18" t="str">
        <f>IF(A125="","",IFERROR(VLOOKUP(A125,PROFESSORES!A:B,2,FALSE),""))</f>
        <v/>
      </c>
      <c r="C125" s="10"/>
      <c r="D125" s="19"/>
      <c r="E125" s="19"/>
      <c r="F125" s="10"/>
      <c r="G125" s="11" t="str">
        <f t="shared" si="1"/>
        <v/>
      </c>
    </row>
    <row r="126" ht="15.75" customHeight="1">
      <c r="A126" s="12"/>
      <c r="B126" s="20" t="str">
        <f>IF(A126="","",IFERROR(VLOOKUP(A126,PROFESSORES!A:B,2,FALSE),""))</f>
        <v/>
      </c>
      <c r="C126" s="12"/>
      <c r="D126" s="21"/>
      <c r="E126" s="21"/>
      <c r="F126" s="12"/>
      <c r="G126" s="13" t="str">
        <f t="shared" si="1"/>
        <v/>
      </c>
    </row>
    <row r="127" ht="15.75" customHeight="1">
      <c r="A127" s="10"/>
      <c r="B127" s="18" t="str">
        <f>IF(A127="","",IFERROR(VLOOKUP(A127,PROFESSORES!A:B,2,FALSE),""))</f>
        <v/>
      </c>
      <c r="C127" s="10"/>
      <c r="D127" s="19"/>
      <c r="E127" s="19"/>
      <c r="F127" s="10"/>
      <c r="G127" s="11" t="str">
        <f t="shared" si="1"/>
        <v/>
      </c>
    </row>
    <row r="128" ht="15.75" customHeight="1">
      <c r="A128" s="12"/>
      <c r="B128" s="20" t="str">
        <f>IF(A128="","",IFERROR(VLOOKUP(A128,PROFESSORES!A:B,2,FALSE),""))</f>
        <v/>
      </c>
      <c r="C128" s="12"/>
      <c r="D128" s="21"/>
      <c r="E128" s="21"/>
      <c r="F128" s="12"/>
      <c r="G128" s="13" t="str">
        <f t="shared" si="1"/>
        <v/>
      </c>
    </row>
    <row r="129" ht="15.75" customHeight="1">
      <c r="A129" s="10"/>
      <c r="B129" s="18" t="str">
        <f>IF(A129="","",IFERROR(VLOOKUP(A129,PROFESSORES!A:B,2,FALSE),""))</f>
        <v/>
      </c>
      <c r="C129" s="10"/>
      <c r="D129" s="19"/>
      <c r="E129" s="19"/>
      <c r="F129" s="10"/>
      <c r="G129" s="11" t="str">
        <f t="shared" si="1"/>
        <v/>
      </c>
    </row>
    <row r="130" ht="15.75" customHeight="1">
      <c r="A130" s="12"/>
      <c r="B130" s="20" t="str">
        <f>IF(A130="","",IFERROR(VLOOKUP(A130,PROFESSORES!A:B,2,FALSE),""))</f>
        <v/>
      </c>
      <c r="C130" s="12"/>
      <c r="D130" s="21"/>
      <c r="E130" s="21"/>
      <c r="F130" s="12"/>
      <c r="G130" s="13" t="str">
        <f t="shared" si="1"/>
        <v/>
      </c>
    </row>
    <row r="131" ht="15.75" customHeight="1">
      <c r="A131" s="10"/>
      <c r="B131" s="18" t="str">
        <f>IF(A131="","",IFERROR(VLOOKUP(A131,PROFESSORES!A:B,2,FALSE),""))</f>
        <v/>
      </c>
      <c r="C131" s="10"/>
      <c r="D131" s="19"/>
      <c r="E131" s="19"/>
      <c r="F131" s="10"/>
      <c r="G131" s="11" t="str">
        <f t="shared" si="1"/>
        <v/>
      </c>
    </row>
    <row r="132" ht="15.75" customHeight="1">
      <c r="A132" s="12"/>
      <c r="B132" s="20" t="str">
        <f>IF(A132="","",IFERROR(VLOOKUP(A132,PROFESSORES!A:B,2,FALSE),""))</f>
        <v/>
      </c>
      <c r="C132" s="12"/>
      <c r="D132" s="21"/>
      <c r="E132" s="21"/>
      <c r="F132" s="12"/>
      <c r="G132" s="13" t="str">
        <f t="shared" si="1"/>
        <v/>
      </c>
    </row>
    <row r="133" ht="15.75" customHeight="1">
      <c r="A133" s="10"/>
      <c r="B133" s="18" t="str">
        <f>IF(A133="","",IFERROR(VLOOKUP(A133,PROFESSORES!A:B,2,FALSE),""))</f>
        <v/>
      </c>
      <c r="C133" s="10"/>
      <c r="D133" s="19"/>
      <c r="E133" s="19"/>
      <c r="F133" s="10"/>
      <c r="G133" s="11" t="str">
        <f t="shared" si="1"/>
        <v/>
      </c>
    </row>
    <row r="134" ht="15.75" customHeight="1">
      <c r="A134" s="12"/>
      <c r="B134" s="20" t="str">
        <f>IF(A134="","",IFERROR(VLOOKUP(A134,PROFESSORES!A:B,2,FALSE),""))</f>
        <v/>
      </c>
      <c r="C134" s="12"/>
      <c r="D134" s="21"/>
      <c r="E134" s="21"/>
      <c r="F134" s="12"/>
      <c r="G134" s="13" t="str">
        <f t="shared" si="1"/>
        <v/>
      </c>
    </row>
    <row r="135" ht="15.75" customHeight="1">
      <c r="A135" s="10"/>
      <c r="B135" s="18" t="str">
        <f>IF(A135="","",IFERROR(VLOOKUP(A135,PROFESSORES!A:B,2,FALSE),""))</f>
        <v/>
      </c>
      <c r="C135" s="10"/>
      <c r="D135" s="19"/>
      <c r="E135" s="19"/>
      <c r="F135" s="10"/>
      <c r="G135" s="11" t="str">
        <f t="shared" si="1"/>
        <v/>
      </c>
    </row>
    <row r="136" ht="15.75" customHeight="1">
      <c r="A136" s="12"/>
      <c r="B136" s="20" t="str">
        <f>IF(A136="","",IFERROR(VLOOKUP(A136,PROFESSORES!A:B,2,FALSE),""))</f>
        <v/>
      </c>
      <c r="C136" s="12"/>
      <c r="D136" s="21"/>
      <c r="E136" s="21"/>
      <c r="F136" s="12"/>
      <c r="G136" s="13" t="str">
        <f t="shared" si="1"/>
        <v/>
      </c>
    </row>
    <row r="137" ht="15.75" customHeight="1">
      <c r="A137" s="10"/>
      <c r="B137" s="18" t="str">
        <f>IF(A137="","",IFERROR(VLOOKUP(A137,PROFESSORES!A:B,2,FALSE),""))</f>
        <v/>
      </c>
      <c r="C137" s="10"/>
      <c r="D137" s="19"/>
      <c r="E137" s="19"/>
      <c r="F137" s="10"/>
      <c r="G137" s="11" t="str">
        <f t="shared" si="1"/>
        <v/>
      </c>
    </row>
    <row r="138" ht="15.75" customHeight="1">
      <c r="A138" s="12"/>
      <c r="B138" s="20" t="str">
        <f>IF(A138="","",IFERROR(VLOOKUP(A138,PROFESSORES!A:B,2,FALSE),""))</f>
        <v/>
      </c>
      <c r="C138" s="12"/>
      <c r="D138" s="21"/>
      <c r="E138" s="21"/>
      <c r="F138" s="12"/>
      <c r="G138" s="13" t="str">
        <f t="shared" si="1"/>
        <v/>
      </c>
    </row>
    <row r="139" ht="15.75" customHeight="1">
      <c r="A139" s="10"/>
      <c r="B139" s="18" t="str">
        <f>IF(A139="","",IFERROR(VLOOKUP(A139,PROFESSORES!A:B,2,FALSE),""))</f>
        <v/>
      </c>
      <c r="C139" s="10"/>
      <c r="D139" s="19"/>
      <c r="E139" s="19"/>
      <c r="F139" s="10"/>
      <c r="G139" s="11" t="str">
        <f t="shared" si="1"/>
        <v/>
      </c>
    </row>
    <row r="140" ht="15.75" customHeight="1">
      <c r="A140" s="12"/>
      <c r="B140" s="20" t="str">
        <f>IF(A140="","",IFERROR(VLOOKUP(A140,PROFESSORES!A:B,2,FALSE),""))</f>
        <v/>
      </c>
      <c r="C140" s="12"/>
      <c r="D140" s="21"/>
      <c r="E140" s="21"/>
      <c r="F140" s="12"/>
      <c r="G140" s="13" t="str">
        <f t="shared" si="1"/>
        <v/>
      </c>
    </row>
    <row r="141" ht="15.75" customHeight="1">
      <c r="A141" s="10"/>
      <c r="B141" s="18" t="str">
        <f>IF(A141="","",IFERROR(VLOOKUP(A141,PROFESSORES!A:B,2,FALSE),""))</f>
        <v/>
      </c>
      <c r="C141" s="10"/>
      <c r="D141" s="19"/>
      <c r="E141" s="19"/>
      <c r="F141" s="10"/>
      <c r="G141" s="11" t="str">
        <f t="shared" si="1"/>
        <v/>
      </c>
    </row>
    <row r="142" ht="15.75" customHeight="1">
      <c r="A142" s="12"/>
      <c r="B142" s="20" t="str">
        <f>IF(A142="","",IFERROR(VLOOKUP(A142,PROFESSORES!A:B,2,FALSE),""))</f>
        <v/>
      </c>
      <c r="C142" s="12"/>
      <c r="D142" s="21"/>
      <c r="E142" s="21"/>
      <c r="F142" s="12"/>
      <c r="G142" s="13" t="str">
        <f t="shared" si="1"/>
        <v/>
      </c>
    </row>
    <row r="143" ht="15.75" customHeight="1">
      <c r="A143" s="10"/>
      <c r="B143" s="18" t="str">
        <f>IF(A143="","",IFERROR(VLOOKUP(A143,PROFESSORES!A:B,2,FALSE),""))</f>
        <v/>
      </c>
      <c r="C143" s="10"/>
      <c r="D143" s="19"/>
      <c r="E143" s="19"/>
      <c r="F143" s="10"/>
      <c r="G143" s="11" t="str">
        <f t="shared" si="1"/>
        <v/>
      </c>
    </row>
    <row r="144" ht="15.75" customHeight="1">
      <c r="A144" s="12"/>
      <c r="B144" s="20" t="str">
        <f>IF(A144="","",IFERROR(VLOOKUP(A144,PROFESSORES!A:B,2,FALSE),""))</f>
        <v/>
      </c>
      <c r="C144" s="12"/>
      <c r="D144" s="21"/>
      <c r="E144" s="21"/>
      <c r="F144" s="12"/>
      <c r="G144" s="13" t="str">
        <f t="shared" si="1"/>
        <v/>
      </c>
    </row>
    <row r="145" ht="15.75" customHeight="1">
      <c r="A145" s="10"/>
      <c r="B145" s="18" t="str">
        <f>IF(A145="","",IFERROR(VLOOKUP(A145,PROFESSORES!A:B,2,FALSE),""))</f>
        <v/>
      </c>
      <c r="C145" s="10"/>
      <c r="D145" s="19"/>
      <c r="E145" s="19"/>
      <c r="F145" s="10"/>
      <c r="G145" s="11" t="str">
        <f t="shared" si="1"/>
        <v/>
      </c>
    </row>
    <row r="146" ht="15.75" customHeight="1">
      <c r="A146" s="12"/>
      <c r="B146" s="20" t="str">
        <f>IF(A146="","",IFERROR(VLOOKUP(A146,PROFESSORES!A:B,2,FALSE),""))</f>
        <v/>
      </c>
      <c r="C146" s="12"/>
      <c r="D146" s="21"/>
      <c r="E146" s="21"/>
      <c r="F146" s="12"/>
      <c r="G146" s="13" t="str">
        <f t="shared" si="1"/>
        <v/>
      </c>
    </row>
    <row r="147" ht="15.75" customHeight="1">
      <c r="A147" s="10"/>
      <c r="B147" s="18" t="str">
        <f>IF(A147="","",IFERROR(VLOOKUP(A147,PROFESSORES!A:B,2,FALSE),""))</f>
        <v/>
      </c>
      <c r="C147" s="10"/>
      <c r="D147" s="19"/>
      <c r="E147" s="19"/>
      <c r="F147" s="10"/>
      <c r="G147" s="11" t="str">
        <f t="shared" si="1"/>
        <v/>
      </c>
    </row>
    <row r="148" ht="15.75" customHeight="1">
      <c r="A148" s="12"/>
      <c r="B148" s="20" t="str">
        <f>IF(A148="","",IFERROR(VLOOKUP(A148,PROFESSORES!A:B,2,FALSE),""))</f>
        <v/>
      </c>
      <c r="C148" s="12"/>
      <c r="D148" s="21"/>
      <c r="E148" s="21"/>
      <c r="F148" s="12"/>
      <c r="G148" s="13" t="str">
        <f t="shared" si="1"/>
        <v/>
      </c>
    </row>
    <row r="149" ht="15.75" customHeight="1">
      <c r="A149" s="10"/>
      <c r="B149" s="18" t="str">
        <f>IF(A149="","",IFERROR(VLOOKUP(A149,PROFESSORES!A:B,2,FALSE),""))</f>
        <v/>
      </c>
      <c r="C149" s="10"/>
      <c r="D149" s="19"/>
      <c r="E149" s="19"/>
      <c r="F149" s="10"/>
      <c r="G149" s="11" t="str">
        <f t="shared" si="1"/>
        <v/>
      </c>
    </row>
    <row r="150" ht="15.75" customHeight="1">
      <c r="A150" s="12"/>
      <c r="B150" s="20" t="str">
        <f>IF(A150="","",IFERROR(VLOOKUP(A150,PROFESSORES!A:B,2,FALSE),""))</f>
        <v/>
      </c>
      <c r="C150" s="12"/>
      <c r="D150" s="21"/>
      <c r="E150" s="21"/>
      <c r="F150" s="12"/>
      <c r="G150" s="13" t="str">
        <f t="shared" si="1"/>
        <v/>
      </c>
    </row>
    <row r="151" ht="15.75" customHeight="1">
      <c r="A151" s="10"/>
      <c r="B151" s="18" t="str">
        <f>IF(A151="","",IFERROR(VLOOKUP(A151,PROFESSORES!A:B,2,FALSE),""))</f>
        <v/>
      </c>
      <c r="C151" s="10"/>
      <c r="D151" s="19"/>
      <c r="E151" s="19"/>
      <c r="F151" s="10"/>
      <c r="G151" s="11" t="str">
        <f t="shared" si="1"/>
        <v/>
      </c>
    </row>
    <row r="152" ht="15.75" customHeight="1">
      <c r="A152" s="12"/>
      <c r="B152" s="20" t="str">
        <f>IF(A152="","",IFERROR(VLOOKUP(A152,PROFESSORES!A:B,2,FALSE),""))</f>
        <v/>
      </c>
      <c r="C152" s="12"/>
      <c r="D152" s="21"/>
      <c r="E152" s="21"/>
      <c r="F152" s="12"/>
      <c r="G152" s="13" t="str">
        <f t="shared" si="1"/>
        <v/>
      </c>
    </row>
    <row r="153" ht="15.75" customHeight="1">
      <c r="A153" s="10"/>
      <c r="B153" s="18" t="str">
        <f>IF(A153="","",IFERROR(VLOOKUP(A153,PROFESSORES!A:B,2,FALSE),""))</f>
        <v/>
      </c>
      <c r="C153" s="10"/>
      <c r="D153" s="19"/>
      <c r="E153" s="19"/>
      <c r="F153" s="10"/>
      <c r="G153" s="11" t="str">
        <f t="shared" si="1"/>
        <v/>
      </c>
    </row>
    <row r="154" ht="15.75" customHeight="1">
      <c r="A154" s="12"/>
      <c r="B154" s="20" t="str">
        <f>IF(A154="","",IFERROR(VLOOKUP(A154,PROFESSORES!A:B,2,FALSE),""))</f>
        <v/>
      </c>
      <c r="C154" s="12"/>
      <c r="D154" s="21"/>
      <c r="E154" s="21"/>
      <c r="F154" s="12"/>
      <c r="G154" s="13" t="str">
        <f t="shared" si="1"/>
        <v/>
      </c>
    </row>
    <row r="155" ht="15.75" customHeight="1">
      <c r="A155" s="10"/>
      <c r="B155" s="18" t="str">
        <f>IF(A155="","",IFERROR(VLOOKUP(A155,PROFESSORES!A:B,2,FALSE),""))</f>
        <v/>
      </c>
      <c r="C155" s="10"/>
      <c r="D155" s="19"/>
      <c r="E155" s="19"/>
      <c r="F155" s="10"/>
      <c r="G155" s="11" t="str">
        <f t="shared" si="1"/>
        <v/>
      </c>
    </row>
    <row r="156" ht="15.75" customHeight="1">
      <c r="A156" s="12"/>
      <c r="B156" s="20" t="str">
        <f>IF(A156="","",IFERROR(VLOOKUP(A156,PROFESSORES!A:B,2,FALSE),""))</f>
        <v/>
      </c>
      <c r="C156" s="12"/>
      <c r="D156" s="21"/>
      <c r="E156" s="21"/>
      <c r="F156" s="12"/>
      <c r="G156" s="13" t="str">
        <f t="shared" si="1"/>
        <v/>
      </c>
    </row>
    <row r="157" ht="15.75" customHeight="1">
      <c r="A157" s="10"/>
      <c r="B157" s="18" t="str">
        <f>IF(A157="","",IFERROR(VLOOKUP(A157,PROFESSORES!A:B,2,FALSE),""))</f>
        <v/>
      </c>
      <c r="C157" s="10"/>
      <c r="D157" s="19"/>
      <c r="E157" s="19"/>
      <c r="F157" s="10"/>
      <c r="G157" s="11" t="str">
        <f t="shared" si="1"/>
        <v/>
      </c>
    </row>
    <row r="158" ht="15.75" customHeight="1">
      <c r="A158" s="12"/>
      <c r="B158" s="20" t="str">
        <f>IF(A158="","",IFERROR(VLOOKUP(A158,PROFESSORES!A:B,2,FALSE),""))</f>
        <v/>
      </c>
      <c r="C158" s="12"/>
      <c r="D158" s="21"/>
      <c r="E158" s="21"/>
      <c r="F158" s="12"/>
      <c r="G158" s="13" t="str">
        <f t="shared" si="1"/>
        <v/>
      </c>
    </row>
    <row r="159" ht="15.75" customHeight="1">
      <c r="A159" s="10"/>
      <c r="B159" s="18" t="str">
        <f>IF(A159="","",IFERROR(VLOOKUP(A159,PROFESSORES!A:B,2,FALSE),""))</f>
        <v/>
      </c>
      <c r="C159" s="10"/>
      <c r="D159" s="19"/>
      <c r="E159" s="19"/>
      <c r="F159" s="10"/>
      <c r="G159" s="11" t="str">
        <f t="shared" si="1"/>
        <v/>
      </c>
    </row>
    <row r="160" ht="15.75" customHeight="1">
      <c r="A160" s="12"/>
      <c r="B160" s="20" t="str">
        <f>IF(A160="","",IFERROR(VLOOKUP(A160,PROFESSORES!A:B,2,FALSE),""))</f>
        <v/>
      </c>
      <c r="C160" s="12"/>
      <c r="D160" s="21"/>
      <c r="E160" s="21"/>
      <c r="F160" s="12"/>
      <c r="G160" s="13" t="str">
        <f t="shared" si="1"/>
        <v/>
      </c>
    </row>
    <row r="161" ht="15.75" customHeight="1">
      <c r="A161" s="10"/>
      <c r="B161" s="18" t="str">
        <f>IF(A161="","",IFERROR(VLOOKUP(A161,PROFESSORES!A:B,2,FALSE),""))</f>
        <v/>
      </c>
      <c r="C161" s="10"/>
      <c r="D161" s="19"/>
      <c r="E161" s="19"/>
      <c r="F161" s="10"/>
      <c r="G161" s="11" t="str">
        <f t="shared" si="1"/>
        <v/>
      </c>
    </row>
    <row r="162" ht="15.75" customHeight="1">
      <c r="A162" s="12"/>
      <c r="B162" s="20" t="str">
        <f>IF(A162="","",IFERROR(VLOOKUP(A162,PROFESSORES!A:B,2,FALSE),""))</f>
        <v/>
      </c>
      <c r="C162" s="12"/>
      <c r="D162" s="21"/>
      <c r="E162" s="21"/>
      <c r="F162" s="12"/>
      <c r="G162" s="13" t="str">
        <f t="shared" si="1"/>
        <v/>
      </c>
    </row>
    <row r="163" ht="15.75" customHeight="1">
      <c r="A163" s="10"/>
      <c r="B163" s="18" t="str">
        <f>IF(A163="","",IFERROR(VLOOKUP(A163,PROFESSORES!A:B,2,FALSE),""))</f>
        <v/>
      </c>
      <c r="C163" s="10"/>
      <c r="D163" s="19"/>
      <c r="E163" s="19"/>
      <c r="F163" s="10"/>
      <c r="G163" s="11" t="str">
        <f t="shared" si="1"/>
        <v/>
      </c>
    </row>
    <row r="164" ht="15.75" customHeight="1">
      <c r="A164" s="12"/>
      <c r="B164" s="20" t="str">
        <f>IF(A164="","",IFERROR(VLOOKUP(A164,PROFESSORES!A:B,2,FALSE),""))</f>
        <v/>
      </c>
      <c r="C164" s="12"/>
      <c r="D164" s="21"/>
      <c r="E164" s="21"/>
      <c r="F164" s="12"/>
      <c r="G164" s="13" t="str">
        <f t="shared" si="1"/>
        <v/>
      </c>
    </row>
    <row r="165" ht="15.75" customHeight="1">
      <c r="A165" s="10"/>
      <c r="B165" s="18" t="str">
        <f>IF(A165="","",IFERROR(VLOOKUP(A165,PROFESSORES!A:B,2,FALSE),""))</f>
        <v/>
      </c>
      <c r="C165" s="10"/>
      <c r="D165" s="19"/>
      <c r="E165" s="19"/>
      <c r="F165" s="10"/>
      <c r="G165" s="11" t="str">
        <f t="shared" si="1"/>
        <v/>
      </c>
    </row>
    <row r="166" ht="15.75" customHeight="1">
      <c r="A166" s="12"/>
      <c r="B166" s="20" t="str">
        <f>IF(A166="","",IFERROR(VLOOKUP(A166,PROFESSORES!A:B,2,FALSE),""))</f>
        <v/>
      </c>
      <c r="C166" s="12"/>
      <c r="D166" s="21"/>
      <c r="E166" s="21"/>
      <c r="F166" s="12"/>
      <c r="G166" s="13" t="str">
        <f t="shared" si="1"/>
        <v/>
      </c>
    </row>
    <row r="167" ht="15.75" customHeight="1">
      <c r="A167" s="10"/>
      <c r="B167" s="18" t="str">
        <f>IF(A167="","",IFERROR(VLOOKUP(A167,PROFESSORES!A:B,2,FALSE),""))</f>
        <v/>
      </c>
      <c r="C167" s="10"/>
      <c r="D167" s="19"/>
      <c r="E167" s="19"/>
      <c r="F167" s="10"/>
      <c r="G167" s="11" t="str">
        <f t="shared" si="1"/>
        <v/>
      </c>
    </row>
    <row r="168" ht="15.75" customHeight="1">
      <c r="A168" s="12"/>
      <c r="B168" s="20" t="str">
        <f>IF(A168="","",IFERROR(VLOOKUP(A168,PROFESSORES!A:B,2,FALSE),""))</f>
        <v/>
      </c>
      <c r="C168" s="12"/>
      <c r="D168" s="21"/>
      <c r="E168" s="21"/>
      <c r="F168" s="12"/>
      <c r="G168" s="13" t="str">
        <f t="shared" si="1"/>
        <v/>
      </c>
    </row>
    <row r="169" ht="15.75" customHeight="1">
      <c r="A169" s="10"/>
      <c r="B169" s="18" t="str">
        <f>IF(A169="","",IFERROR(VLOOKUP(A169,PROFESSORES!A:B,2,FALSE),""))</f>
        <v/>
      </c>
      <c r="C169" s="10"/>
      <c r="D169" s="19"/>
      <c r="E169" s="19"/>
      <c r="F169" s="10"/>
      <c r="G169" s="11" t="str">
        <f t="shared" si="1"/>
        <v/>
      </c>
    </row>
    <row r="170" ht="15.75" customHeight="1">
      <c r="A170" s="12"/>
      <c r="B170" s="20" t="str">
        <f>IF(A170="","",IFERROR(VLOOKUP(A170,PROFESSORES!A:B,2,FALSE),""))</f>
        <v/>
      </c>
      <c r="C170" s="12"/>
      <c r="D170" s="21"/>
      <c r="E170" s="21"/>
      <c r="F170" s="12"/>
      <c r="G170" s="13" t="str">
        <f t="shared" si="1"/>
        <v/>
      </c>
    </row>
    <row r="171" ht="15.75" customHeight="1">
      <c r="A171" s="10"/>
      <c r="B171" s="18" t="str">
        <f>IF(A171="","",IFERROR(VLOOKUP(A171,PROFESSORES!A:B,2,FALSE),""))</f>
        <v/>
      </c>
      <c r="C171" s="10"/>
      <c r="D171" s="19"/>
      <c r="E171" s="19"/>
      <c r="F171" s="10"/>
      <c r="G171" s="11" t="str">
        <f t="shared" si="1"/>
        <v/>
      </c>
    </row>
    <row r="172" ht="15.75" customHeight="1">
      <c r="A172" s="12"/>
      <c r="B172" s="20" t="str">
        <f>IF(A172="","",IFERROR(VLOOKUP(A172,PROFESSORES!A:B,2,FALSE),""))</f>
        <v/>
      </c>
      <c r="C172" s="12"/>
      <c r="D172" s="21"/>
      <c r="E172" s="21"/>
      <c r="F172" s="12"/>
      <c r="G172" s="13" t="str">
        <f t="shared" si="1"/>
        <v/>
      </c>
    </row>
    <row r="173" ht="15.75" customHeight="1">
      <c r="A173" s="10"/>
      <c r="B173" s="18" t="str">
        <f>IF(A173="","",IFERROR(VLOOKUP(A173,PROFESSORES!A:B,2,FALSE),""))</f>
        <v/>
      </c>
      <c r="C173" s="10"/>
      <c r="D173" s="19"/>
      <c r="E173" s="19"/>
      <c r="F173" s="10"/>
      <c r="G173" s="11" t="str">
        <f t="shared" si="1"/>
        <v/>
      </c>
    </row>
    <row r="174" ht="15.75" customHeight="1">
      <c r="A174" s="12"/>
      <c r="B174" s="20" t="str">
        <f>IF(A174="","",IFERROR(VLOOKUP(A174,PROFESSORES!A:B,2,FALSE),""))</f>
        <v/>
      </c>
      <c r="C174" s="12"/>
      <c r="D174" s="21"/>
      <c r="E174" s="21"/>
      <c r="F174" s="12"/>
      <c r="G174" s="13" t="str">
        <f t="shared" si="1"/>
        <v/>
      </c>
    </row>
    <row r="175" ht="15.75" customHeight="1">
      <c r="A175" s="10"/>
      <c r="B175" s="18" t="str">
        <f>IF(A175="","",IFERROR(VLOOKUP(A175,PROFESSORES!A:B,2,FALSE),""))</f>
        <v/>
      </c>
      <c r="C175" s="10"/>
      <c r="D175" s="19"/>
      <c r="E175" s="19"/>
      <c r="F175" s="10"/>
      <c r="G175" s="11" t="str">
        <f t="shared" si="1"/>
        <v/>
      </c>
    </row>
    <row r="176" ht="15.75" customHeight="1">
      <c r="A176" s="12"/>
      <c r="B176" s="20" t="str">
        <f>IF(A176="","",IFERROR(VLOOKUP(A176,PROFESSORES!A:B,2,FALSE),""))</f>
        <v/>
      </c>
      <c r="C176" s="12"/>
      <c r="D176" s="21"/>
      <c r="E176" s="21"/>
      <c r="F176" s="12"/>
      <c r="G176" s="13" t="str">
        <f t="shared" si="1"/>
        <v/>
      </c>
    </row>
    <row r="177" ht="15.75" customHeight="1">
      <c r="A177" s="10"/>
      <c r="B177" s="18" t="str">
        <f>IF(A177="","",IFERROR(VLOOKUP(A177,PROFESSORES!A:B,2,FALSE),""))</f>
        <v/>
      </c>
      <c r="C177" s="10"/>
      <c r="D177" s="19"/>
      <c r="E177" s="19"/>
      <c r="F177" s="10"/>
      <c r="G177" s="11" t="str">
        <f t="shared" si="1"/>
        <v/>
      </c>
    </row>
    <row r="178" ht="15.75" customHeight="1">
      <c r="A178" s="12"/>
      <c r="B178" s="20" t="str">
        <f>IF(A178="","",IFERROR(VLOOKUP(A178,PROFESSORES!A:B,2,FALSE),""))</f>
        <v/>
      </c>
      <c r="C178" s="12"/>
      <c r="D178" s="21"/>
      <c r="E178" s="21"/>
      <c r="F178" s="12"/>
      <c r="G178" s="13" t="str">
        <f t="shared" si="1"/>
        <v/>
      </c>
    </row>
    <row r="179" ht="15.75" customHeight="1">
      <c r="A179" s="10"/>
      <c r="B179" s="18" t="str">
        <f>IF(A179="","",IFERROR(VLOOKUP(A179,PROFESSORES!A:B,2,FALSE),""))</f>
        <v/>
      </c>
      <c r="C179" s="10"/>
      <c r="D179" s="19"/>
      <c r="E179" s="19"/>
      <c r="F179" s="10"/>
      <c r="G179" s="11" t="str">
        <f t="shared" si="1"/>
        <v/>
      </c>
    </row>
    <row r="180" ht="15.75" customHeight="1">
      <c r="A180" s="12"/>
      <c r="B180" s="20" t="str">
        <f>IF(A180="","",IFERROR(VLOOKUP(A180,PROFESSORES!A:B,2,FALSE),""))</f>
        <v/>
      </c>
      <c r="C180" s="12"/>
      <c r="D180" s="21"/>
      <c r="E180" s="21"/>
      <c r="F180" s="12"/>
      <c r="G180" s="13" t="str">
        <f t="shared" si="1"/>
        <v/>
      </c>
    </row>
    <row r="181" ht="15.75" customHeight="1">
      <c r="A181" s="10"/>
      <c r="B181" s="18" t="str">
        <f>IF(A181="","",IFERROR(VLOOKUP(A181,PROFESSORES!A:B,2,FALSE),""))</f>
        <v/>
      </c>
      <c r="C181" s="10"/>
      <c r="D181" s="19"/>
      <c r="E181" s="19"/>
      <c r="F181" s="10"/>
      <c r="G181" s="11" t="str">
        <f t="shared" si="1"/>
        <v/>
      </c>
    </row>
    <row r="182" ht="15.75" customHeight="1">
      <c r="A182" s="12"/>
      <c r="B182" s="20" t="str">
        <f>IF(A182="","",IFERROR(VLOOKUP(A182,PROFESSORES!A:B,2,FALSE),""))</f>
        <v/>
      </c>
      <c r="C182" s="12"/>
      <c r="D182" s="21"/>
      <c r="E182" s="21"/>
      <c r="F182" s="12"/>
      <c r="G182" s="13" t="str">
        <f t="shared" si="1"/>
        <v/>
      </c>
    </row>
    <row r="183" ht="15.75" customHeight="1">
      <c r="A183" s="10"/>
      <c r="B183" s="18" t="str">
        <f>IF(A183="","",IFERROR(VLOOKUP(A183,PROFESSORES!A:B,2,FALSE),""))</f>
        <v/>
      </c>
      <c r="C183" s="10"/>
      <c r="D183" s="19"/>
      <c r="E183" s="19"/>
      <c r="F183" s="10"/>
      <c r="G183" s="11" t="str">
        <f t="shared" si="1"/>
        <v/>
      </c>
    </row>
    <row r="184" ht="15.75" customHeight="1">
      <c r="A184" s="12"/>
      <c r="B184" s="20" t="str">
        <f>IF(A184="","",IFERROR(VLOOKUP(A184,PROFESSORES!A:B,2,FALSE),""))</f>
        <v/>
      </c>
      <c r="C184" s="12"/>
      <c r="D184" s="21"/>
      <c r="E184" s="21"/>
      <c r="F184" s="12"/>
      <c r="G184" s="13" t="str">
        <f t="shared" si="1"/>
        <v/>
      </c>
    </row>
    <row r="185" ht="15.75" customHeight="1">
      <c r="A185" s="10"/>
      <c r="B185" s="18" t="str">
        <f>IF(A185="","",IFERROR(VLOOKUP(A185,PROFESSORES!A:B,2,FALSE),""))</f>
        <v/>
      </c>
      <c r="C185" s="10"/>
      <c r="D185" s="19"/>
      <c r="E185" s="19"/>
      <c r="F185" s="10"/>
      <c r="G185" s="11" t="str">
        <f t="shared" si="1"/>
        <v/>
      </c>
    </row>
    <row r="186" ht="15.75" customHeight="1">
      <c r="A186" s="12"/>
      <c r="B186" s="20" t="str">
        <f>IF(A186="","",IFERROR(VLOOKUP(A186,PROFESSORES!A:B,2,FALSE),""))</f>
        <v/>
      </c>
      <c r="C186" s="12"/>
      <c r="D186" s="21"/>
      <c r="E186" s="21"/>
      <c r="F186" s="12"/>
      <c r="G186" s="13" t="str">
        <f t="shared" si="1"/>
        <v/>
      </c>
    </row>
    <row r="187" ht="15.75" customHeight="1">
      <c r="A187" s="10"/>
      <c r="B187" s="18" t="str">
        <f>IF(A187="","",IFERROR(VLOOKUP(A187,PROFESSORES!A:B,2,FALSE),""))</f>
        <v/>
      </c>
      <c r="C187" s="10"/>
      <c r="D187" s="19"/>
      <c r="E187" s="19"/>
      <c r="F187" s="10"/>
      <c r="G187" s="11" t="str">
        <f t="shared" si="1"/>
        <v/>
      </c>
    </row>
    <row r="188" ht="15.75" customHeight="1">
      <c r="A188" s="12"/>
      <c r="B188" s="20" t="str">
        <f>IF(A188="","",IFERROR(VLOOKUP(A188,PROFESSORES!A:B,2,FALSE),""))</f>
        <v/>
      </c>
      <c r="C188" s="12"/>
      <c r="D188" s="21"/>
      <c r="E188" s="21"/>
      <c r="F188" s="12"/>
      <c r="G188" s="13" t="str">
        <f t="shared" si="1"/>
        <v/>
      </c>
    </row>
    <row r="189" ht="15.75" customHeight="1">
      <c r="A189" s="10"/>
      <c r="B189" s="18" t="str">
        <f>IF(A189="","",IFERROR(VLOOKUP(A189,PROFESSORES!A:B,2,FALSE),""))</f>
        <v/>
      </c>
      <c r="C189" s="10"/>
      <c r="D189" s="19"/>
      <c r="E189" s="19"/>
      <c r="F189" s="10"/>
      <c r="G189" s="11" t="str">
        <f t="shared" si="1"/>
        <v/>
      </c>
    </row>
    <row r="190" ht="15.75" customHeight="1">
      <c r="A190" s="12"/>
      <c r="B190" s="20" t="str">
        <f>IF(A190="","",IFERROR(VLOOKUP(A190,PROFESSORES!A:B,2,FALSE),""))</f>
        <v/>
      </c>
      <c r="C190" s="12"/>
      <c r="D190" s="21"/>
      <c r="E190" s="21"/>
      <c r="F190" s="12"/>
      <c r="G190" s="13" t="str">
        <f t="shared" si="1"/>
        <v/>
      </c>
    </row>
    <row r="191" ht="15.75" customHeight="1">
      <c r="A191" s="10"/>
      <c r="B191" s="18" t="str">
        <f>IF(A191="","",IFERROR(VLOOKUP(A191,PROFESSORES!A:B,2,FALSE),""))</f>
        <v/>
      </c>
      <c r="C191" s="10"/>
      <c r="D191" s="19"/>
      <c r="E191" s="19"/>
      <c r="F191" s="10"/>
      <c r="G191" s="11" t="str">
        <f t="shared" si="1"/>
        <v/>
      </c>
    </row>
    <row r="192" ht="15.75" customHeight="1">
      <c r="A192" s="12"/>
      <c r="B192" s="20" t="str">
        <f>IF(A192="","",IFERROR(VLOOKUP(A192,PROFESSORES!A:B,2,FALSE),""))</f>
        <v/>
      </c>
      <c r="C192" s="12"/>
      <c r="D192" s="21"/>
      <c r="E192" s="21"/>
      <c r="F192" s="12"/>
      <c r="G192" s="13" t="str">
        <f t="shared" si="1"/>
        <v/>
      </c>
    </row>
    <row r="193" ht="15.75" customHeight="1">
      <c r="A193" s="10"/>
      <c r="B193" s="18" t="str">
        <f>IF(A193="","",IFERROR(VLOOKUP(A193,PROFESSORES!A:B,2,FALSE),""))</f>
        <v/>
      </c>
      <c r="C193" s="10"/>
      <c r="D193" s="19"/>
      <c r="E193" s="19"/>
      <c r="F193" s="10"/>
      <c r="G193" s="11" t="str">
        <f t="shared" si="1"/>
        <v/>
      </c>
    </row>
    <row r="194" ht="15.75" customHeight="1">
      <c r="A194" s="12"/>
      <c r="B194" s="20" t="str">
        <f>IF(A194="","",IFERROR(VLOOKUP(A194,PROFESSORES!A:B,2,FALSE),""))</f>
        <v/>
      </c>
      <c r="C194" s="12"/>
      <c r="D194" s="21"/>
      <c r="E194" s="21"/>
      <c r="F194" s="12"/>
      <c r="G194" s="13" t="str">
        <f t="shared" si="1"/>
        <v/>
      </c>
    </row>
    <row r="195" ht="15.75" customHeight="1">
      <c r="A195" s="10"/>
      <c r="B195" s="18" t="str">
        <f>IF(A195="","",IFERROR(VLOOKUP(A195,PROFESSORES!A:B,2,FALSE),""))</f>
        <v/>
      </c>
      <c r="C195" s="10"/>
      <c r="D195" s="19"/>
      <c r="E195" s="19"/>
      <c r="F195" s="10"/>
      <c r="G195" s="11" t="str">
        <f t="shared" si="1"/>
        <v/>
      </c>
    </row>
    <row r="196" ht="15.75" customHeight="1">
      <c r="A196" s="12"/>
      <c r="B196" s="20" t="str">
        <f>IF(A196="","",IFERROR(VLOOKUP(A196,PROFESSORES!A:B,2,FALSE),""))</f>
        <v/>
      </c>
      <c r="C196" s="12"/>
      <c r="D196" s="21"/>
      <c r="E196" s="21"/>
      <c r="F196" s="12"/>
      <c r="G196" s="13" t="str">
        <f t="shared" si="1"/>
        <v/>
      </c>
    </row>
    <row r="197" ht="15.75" customHeight="1">
      <c r="A197" s="10"/>
      <c r="B197" s="18" t="str">
        <f>IF(A197="","",IFERROR(VLOOKUP(A197,PROFESSORES!A:B,2,FALSE),""))</f>
        <v/>
      </c>
      <c r="C197" s="10"/>
      <c r="D197" s="19"/>
      <c r="E197" s="19"/>
      <c r="F197" s="10"/>
      <c r="G197" s="11" t="str">
        <f t="shared" si="1"/>
        <v/>
      </c>
    </row>
    <row r="198" ht="15.75" customHeight="1">
      <c r="A198" s="12"/>
      <c r="B198" s="20" t="str">
        <f>IF(A198="","",IFERROR(VLOOKUP(A198,PROFESSORES!A:B,2,FALSE),""))</f>
        <v/>
      </c>
      <c r="C198" s="12"/>
      <c r="D198" s="21"/>
      <c r="E198" s="21"/>
      <c r="F198" s="12"/>
      <c r="G198" s="13" t="str">
        <f t="shared" si="1"/>
        <v/>
      </c>
    </row>
    <row r="199" ht="15.75" customHeight="1">
      <c r="A199" s="10"/>
      <c r="B199" s="18" t="str">
        <f>IF(A199="","",IFERROR(VLOOKUP(A199,PROFESSORES!A:B,2,FALSE),""))</f>
        <v/>
      </c>
      <c r="C199" s="10"/>
      <c r="D199" s="19"/>
      <c r="E199" s="19"/>
      <c r="F199" s="10"/>
      <c r="G199" s="11" t="str">
        <f t="shared" si="1"/>
        <v/>
      </c>
    </row>
    <row r="200" ht="15.75" customHeight="1">
      <c r="A200" s="12"/>
      <c r="B200" s="20" t="str">
        <f>IF(A200="","",IFERROR(VLOOKUP(A200,PROFESSORES!A:B,2,FALSE),""))</f>
        <v/>
      </c>
      <c r="C200" s="12"/>
      <c r="D200" s="21"/>
      <c r="E200" s="21"/>
      <c r="F200" s="12"/>
      <c r="G200" s="13" t="str">
        <f t="shared" si="1"/>
        <v/>
      </c>
    </row>
    <row r="201" ht="15.75" customHeight="1">
      <c r="A201" s="10"/>
      <c r="B201" s="18" t="str">
        <f>IF(A201="","",IFERROR(VLOOKUP(A201,PROFESSORES!A:B,2,FALSE),""))</f>
        <v/>
      </c>
      <c r="C201" s="10"/>
      <c r="D201" s="19"/>
      <c r="E201" s="19"/>
      <c r="F201" s="10"/>
      <c r="G201" s="11" t="str">
        <f t="shared" si="1"/>
        <v/>
      </c>
    </row>
    <row r="202" ht="15.75" customHeight="1">
      <c r="A202" s="12"/>
      <c r="B202" s="20" t="str">
        <f>IF(A202="","",IFERROR(VLOOKUP(A202,PROFESSORES!A:B,2,FALSE),""))</f>
        <v/>
      </c>
      <c r="C202" s="12"/>
      <c r="D202" s="21"/>
      <c r="E202" s="21"/>
      <c r="F202" s="12"/>
      <c r="G202" s="13" t="str">
        <f t="shared" si="1"/>
        <v/>
      </c>
    </row>
    <row r="203" ht="15.75" customHeight="1">
      <c r="A203" s="10"/>
      <c r="B203" s="18" t="str">
        <f>IF(A203="","",IFERROR(VLOOKUP(A203,PROFESSORES!A:B,2,FALSE),""))</f>
        <v/>
      </c>
      <c r="C203" s="10"/>
      <c r="D203" s="19"/>
      <c r="E203" s="19"/>
      <c r="F203" s="10"/>
      <c r="G203" s="11" t="str">
        <f t="shared" si="1"/>
        <v/>
      </c>
    </row>
    <row r="204" ht="15.75" customHeight="1">
      <c r="A204" s="12"/>
      <c r="B204" s="20" t="str">
        <f>IF(A204="","",IFERROR(VLOOKUP(A204,PROFESSORES!A:B,2,FALSE),""))</f>
        <v/>
      </c>
      <c r="C204" s="12"/>
      <c r="D204" s="21"/>
      <c r="E204" s="21"/>
      <c r="F204" s="12"/>
      <c r="G204" s="13" t="str">
        <f t="shared" si="1"/>
        <v/>
      </c>
    </row>
    <row r="205" ht="15.75" customHeight="1">
      <c r="A205" s="10"/>
      <c r="B205" s="18" t="str">
        <f>IF(A205="","",IFERROR(VLOOKUP(A205,PROFESSORES!A:B,2,FALSE),""))</f>
        <v/>
      </c>
      <c r="C205" s="10"/>
      <c r="D205" s="19"/>
      <c r="E205" s="19"/>
      <c r="F205" s="10"/>
      <c r="G205" s="11" t="str">
        <f t="shared" si="1"/>
        <v/>
      </c>
    </row>
    <row r="206" ht="15.75" customHeight="1">
      <c r="A206" s="12"/>
      <c r="B206" s="20" t="str">
        <f>IF(A206="","",IFERROR(VLOOKUP(A206,PROFESSORES!A:B,2,FALSE),""))</f>
        <v/>
      </c>
      <c r="C206" s="12"/>
      <c r="D206" s="21"/>
      <c r="E206" s="21"/>
      <c r="F206" s="12"/>
      <c r="G206" s="13" t="str">
        <f t="shared" si="1"/>
        <v/>
      </c>
    </row>
    <row r="207" ht="15.75" customHeight="1">
      <c r="A207" s="10"/>
      <c r="B207" s="18" t="str">
        <f>IF(A207="","",IFERROR(VLOOKUP(A207,PROFESSORES!A:B,2,FALSE),""))</f>
        <v/>
      </c>
      <c r="C207" s="10"/>
      <c r="D207" s="19"/>
      <c r="E207" s="19"/>
      <c r="F207" s="10"/>
      <c r="G207" s="11" t="str">
        <f t="shared" si="1"/>
        <v/>
      </c>
    </row>
    <row r="208" ht="15.75" customHeight="1">
      <c r="A208" s="12"/>
      <c r="B208" s="20" t="str">
        <f>IF(A208="","",IFERROR(VLOOKUP(A208,PROFESSORES!A:B,2,FALSE),""))</f>
        <v/>
      </c>
      <c r="C208" s="12"/>
      <c r="D208" s="21"/>
      <c r="E208" s="21"/>
      <c r="F208" s="12"/>
      <c r="G208" s="13" t="str">
        <f t="shared" si="1"/>
        <v/>
      </c>
    </row>
    <row r="209" ht="15.75" customHeight="1">
      <c r="A209" s="10"/>
      <c r="B209" s="18" t="str">
        <f>IF(A209="","",IFERROR(VLOOKUP(A209,PROFESSORES!A:B,2,FALSE),""))</f>
        <v/>
      </c>
      <c r="C209" s="10"/>
      <c r="D209" s="19"/>
      <c r="E209" s="19"/>
      <c r="F209" s="10"/>
      <c r="G209" s="11" t="str">
        <f t="shared" si="1"/>
        <v/>
      </c>
    </row>
    <row r="210" ht="15.75" customHeight="1">
      <c r="A210" s="12"/>
      <c r="B210" s="20" t="str">
        <f>IF(A210="","",IFERROR(VLOOKUP(A210,PROFESSORES!A:B,2,FALSE),""))</f>
        <v/>
      </c>
      <c r="C210" s="12"/>
      <c r="D210" s="21"/>
      <c r="E210" s="21"/>
      <c r="F210" s="12"/>
      <c r="G210" s="13" t="str">
        <f t="shared" si="1"/>
        <v/>
      </c>
    </row>
    <row r="211" ht="15.75" customHeight="1">
      <c r="A211" s="10"/>
      <c r="B211" s="18" t="str">
        <f>IF(A211="","",IFERROR(VLOOKUP(A211,PROFESSORES!A:B,2,FALSE),""))</f>
        <v/>
      </c>
      <c r="C211" s="10"/>
      <c r="D211" s="19"/>
      <c r="E211" s="19"/>
      <c r="F211" s="10"/>
      <c r="G211" s="11" t="str">
        <f t="shared" si="1"/>
        <v/>
      </c>
    </row>
    <row r="212" ht="15.75" customHeight="1">
      <c r="A212" s="12"/>
      <c r="B212" s="20" t="str">
        <f>IF(A212="","",IFERROR(VLOOKUP(A212,PROFESSORES!A:B,2,FALSE),""))</f>
        <v/>
      </c>
      <c r="C212" s="12"/>
      <c r="D212" s="21"/>
      <c r="E212" s="21"/>
      <c r="F212" s="12"/>
      <c r="G212" s="13" t="str">
        <f t="shared" si="1"/>
        <v/>
      </c>
    </row>
    <row r="213" ht="15.75" customHeight="1">
      <c r="A213" s="10"/>
      <c r="B213" s="18" t="str">
        <f>IF(A213="","",IFERROR(VLOOKUP(A213,PROFESSORES!A:B,2,FALSE),""))</f>
        <v/>
      </c>
      <c r="C213" s="10"/>
      <c r="D213" s="19"/>
      <c r="E213" s="19"/>
      <c r="F213" s="10"/>
      <c r="G213" s="11" t="str">
        <f t="shared" si="1"/>
        <v/>
      </c>
    </row>
    <row r="214" ht="15.75" customHeight="1">
      <c r="A214" s="12"/>
      <c r="B214" s="20" t="str">
        <f>IF(A214="","",IFERROR(VLOOKUP(A214,PROFESSORES!A:B,2,FALSE),""))</f>
        <v/>
      </c>
      <c r="C214" s="12"/>
      <c r="D214" s="21"/>
      <c r="E214" s="21"/>
      <c r="F214" s="12"/>
      <c r="G214" s="13" t="str">
        <f t="shared" si="1"/>
        <v/>
      </c>
    </row>
    <row r="215" ht="15.75" customHeight="1">
      <c r="A215" s="10"/>
      <c r="B215" s="18" t="str">
        <f>IF(A215="","",IFERROR(VLOOKUP(A215,PROFESSORES!A:B,2,FALSE),""))</f>
        <v/>
      </c>
      <c r="C215" s="10"/>
      <c r="D215" s="19"/>
      <c r="E215" s="19"/>
      <c r="F215" s="10"/>
      <c r="G215" s="11" t="str">
        <f t="shared" si="1"/>
        <v/>
      </c>
    </row>
    <row r="216" ht="15.75" customHeight="1">
      <c r="A216" s="12"/>
      <c r="B216" s="20" t="str">
        <f>IF(A216="","",IFERROR(VLOOKUP(A216,PROFESSORES!A:B,2,FALSE),""))</f>
        <v/>
      </c>
      <c r="C216" s="12"/>
      <c r="D216" s="21"/>
      <c r="E216" s="21"/>
      <c r="F216" s="12"/>
      <c r="G216" s="13" t="str">
        <f t="shared" si="1"/>
        <v/>
      </c>
    </row>
    <row r="217" ht="15.75" customHeight="1">
      <c r="A217" s="10"/>
      <c r="B217" s="18" t="str">
        <f>IF(A217="","",IFERROR(VLOOKUP(A217,PROFESSORES!A:B,2,FALSE),""))</f>
        <v/>
      </c>
      <c r="C217" s="10"/>
      <c r="D217" s="19"/>
      <c r="E217" s="19"/>
      <c r="F217" s="10"/>
      <c r="G217" s="11" t="str">
        <f t="shared" si="1"/>
        <v/>
      </c>
    </row>
    <row r="218" ht="15.75" customHeight="1">
      <c r="A218" s="12"/>
      <c r="B218" s="20" t="str">
        <f>IF(A218="","",IFERROR(VLOOKUP(A218,PROFESSORES!A:B,2,FALSE),""))</f>
        <v/>
      </c>
      <c r="C218" s="12"/>
      <c r="D218" s="21"/>
      <c r="E218" s="21"/>
      <c r="F218" s="12"/>
      <c r="G218" s="13" t="str">
        <f t="shared" si="1"/>
        <v/>
      </c>
    </row>
    <row r="219" ht="15.75" customHeight="1">
      <c r="A219" s="10"/>
      <c r="B219" s="18" t="str">
        <f>IF(A219="","",IFERROR(VLOOKUP(A219,PROFESSORES!A:B,2,FALSE),""))</f>
        <v/>
      </c>
      <c r="C219" s="10"/>
      <c r="D219" s="19"/>
      <c r="E219" s="19"/>
      <c r="F219" s="10"/>
      <c r="G219" s="11" t="str">
        <f t="shared" si="1"/>
        <v/>
      </c>
    </row>
    <row r="220" ht="15.75" customHeight="1">
      <c r="A220" s="12"/>
      <c r="B220" s="20" t="str">
        <f>IF(A220="","",IFERROR(VLOOKUP(A220,PROFESSORES!A:B,2,FALSE),""))</f>
        <v/>
      </c>
      <c r="C220" s="12"/>
      <c r="D220" s="21"/>
      <c r="E220" s="21"/>
      <c r="F220" s="12"/>
      <c r="G220" s="13" t="str">
        <f t="shared" si="1"/>
        <v/>
      </c>
    </row>
    <row r="221" ht="15.75" customHeight="1">
      <c r="A221" s="10"/>
      <c r="B221" s="18" t="str">
        <f>IF(A221="","",IFERROR(VLOOKUP(A221,PROFESSORES!A:B,2,FALSE),""))</f>
        <v/>
      </c>
      <c r="C221" s="10"/>
      <c r="D221" s="19"/>
      <c r="E221" s="19"/>
      <c r="F221" s="10"/>
      <c r="G221" s="11" t="str">
        <f t="shared" si="1"/>
        <v/>
      </c>
    </row>
    <row r="222" ht="15.75" customHeight="1">
      <c r="A222" s="12"/>
      <c r="B222" s="20" t="str">
        <f>IF(A222="","",IFERROR(VLOOKUP(A222,PROFESSORES!A:B,2,FALSE),""))</f>
        <v/>
      </c>
      <c r="C222" s="12"/>
      <c r="D222" s="21"/>
      <c r="E222" s="21"/>
      <c r="F222" s="12"/>
      <c r="G222" s="13" t="str">
        <f t="shared" si="1"/>
        <v/>
      </c>
    </row>
    <row r="223" ht="15.75" customHeight="1">
      <c r="A223" s="10"/>
      <c r="B223" s="18" t="str">
        <f>IF(A223="","",IFERROR(VLOOKUP(A223,PROFESSORES!A:B,2,FALSE),""))</f>
        <v/>
      </c>
      <c r="C223" s="10"/>
      <c r="D223" s="19"/>
      <c r="E223" s="19"/>
      <c r="F223" s="10"/>
      <c r="G223" s="11" t="str">
        <f t="shared" si="1"/>
        <v/>
      </c>
    </row>
    <row r="224" ht="15.75" customHeight="1">
      <c r="A224" s="12"/>
      <c r="B224" s="20" t="str">
        <f>IF(A224="","",IFERROR(VLOOKUP(A224,PROFESSORES!A:B,2,FALSE),""))</f>
        <v/>
      </c>
      <c r="C224" s="12"/>
      <c r="D224" s="21"/>
      <c r="E224" s="21"/>
      <c r="F224" s="12"/>
      <c r="G224" s="13" t="str">
        <f t="shared" si="1"/>
        <v/>
      </c>
    </row>
    <row r="225" ht="15.75" customHeight="1">
      <c r="A225" s="10"/>
      <c r="B225" s="18" t="str">
        <f>IF(A225="","",IFERROR(VLOOKUP(A225,PROFESSORES!A:B,2,FALSE),""))</f>
        <v/>
      </c>
      <c r="C225" s="10"/>
      <c r="D225" s="19"/>
      <c r="E225" s="19"/>
      <c r="F225" s="10"/>
      <c r="G225" s="11" t="str">
        <f t="shared" si="1"/>
        <v/>
      </c>
    </row>
    <row r="226" ht="15.75" customHeight="1">
      <c r="A226" s="12"/>
      <c r="B226" s="20" t="str">
        <f>IF(A226="","",IFERROR(VLOOKUP(A226,PROFESSORES!A:B,2,FALSE),""))</f>
        <v/>
      </c>
      <c r="C226" s="12"/>
      <c r="D226" s="21"/>
      <c r="E226" s="21"/>
      <c r="F226" s="12"/>
      <c r="G226" s="13" t="str">
        <f t="shared" si="1"/>
        <v/>
      </c>
    </row>
    <row r="227" ht="15.75" customHeight="1">
      <c r="A227" s="10"/>
      <c r="B227" s="18" t="str">
        <f>IF(A227="","",IFERROR(VLOOKUP(A227,PROFESSORES!A:B,2,FALSE),""))</f>
        <v/>
      </c>
      <c r="C227" s="10"/>
      <c r="D227" s="19"/>
      <c r="E227" s="19"/>
      <c r="F227" s="10"/>
      <c r="G227" s="11" t="str">
        <f t="shared" si="1"/>
        <v/>
      </c>
    </row>
    <row r="228" ht="15.75" customHeight="1">
      <c r="A228" s="12"/>
      <c r="B228" s="20" t="str">
        <f>IF(A228="","",IFERROR(VLOOKUP(A228,PROFESSORES!A:B,2,FALSE),""))</f>
        <v/>
      </c>
      <c r="C228" s="12"/>
      <c r="D228" s="21"/>
      <c r="E228" s="21"/>
      <c r="F228" s="12"/>
      <c r="G228" s="13" t="str">
        <f t="shared" si="1"/>
        <v/>
      </c>
    </row>
    <row r="229" ht="15.75" customHeight="1">
      <c r="A229" s="10"/>
      <c r="B229" s="18" t="str">
        <f>IF(A229="","",IFERROR(VLOOKUP(A229,PROFESSORES!A:B,2,FALSE),""))</f>
        <v/>
      </c>
      <c r="C229" s="10"/>
      <c r="D229" s="19"/>
      <c r="E229" s="19"/>
      <c r="F229" s="10"/>
      <c r="G229" s="11" t="str">
        <f t="shared" si="1"/>
        <v/>
      </c>
    </row>
    <row r="230" ht="15.75" customHeight="1">
      <c r="A230" s="12"/>
      <c r="B230" s="20" t="str">
        <f>IF(A230="","",IFERROR(VLOOKUP(A230,PROFESSORES!A:B,2,FALSE),""))</f>
        <v/>
      </c>
      <c r="C230" s="12"/>
      <c r="D230" s="21"/>
      <c r="E230" s="21"/>
      <c r="F230" s="12"/>
      <c r="G230" s="13" t="str">
        <f t="shared" si="1"/>
        <v/>
      </c>
    </row>
    <row r="231" ht="15.75" customHeight="1">
      <c r="A231" s="10"/>
      <c r="B231" s="18" t="str">
        <f>IF(A231="","",IFERROR(VLOOKUP(A231,PROFESSORES!A:B,2,FALSE),""))</f>
        <v/>
      </c>
      <c r="C231" s="10"/>
      <c r="D231" s="19"/>
      <c r="E231" s="19"/>
      <c r="F231" s="10"/>
      <c r="G231" s="11" t="str">
        <f t="shared" si="1"/>
        <v/>
      </c>
    </row>
    <row r="232" ht="15.75" customHeight="1">
      <c r="A232" s="12"/>
      <c r="B232" s="20" t="str">
        <f>IF(A232="","",IFERROR(VLOOKUP(A232,PROFESSORES!A:B,2,FALSE),""))</f>
        <v/>
      </c>
      <c r="C232" s="12"/>
      <c r="D232" s="21"/>
      <c r="E232" s="21"/>
      <c r="F232" s="12"/>
      <c r="G232" s="13" t="str">
        <f t="shared" si="1"/>
        <v/>
      </c>
    </row>
    <row r="233" ht="15.75" customHeight="1">
      <c r="A233" s="10"/>
      <c r="B233" s="18" t="str">
        <f>IF(A233="","",IFERROR(VLOOKUP(A233,PROFESSORES!A:B,2,FALSE),""))</f>
        <v/>
      </c>
      <c r="C233" s="10"/>
      <c r="D233" s="19"/>
      <c r="E233" s="19"/>
      <c r="F233" s="10"/>
      <c r="G233" s="11" t="str">
        <f t="shared" si="1"/>
        <v/>
      </c>
    </row>
    <row r="234" ht="15.75" customHeight="1">
      <c r="A234" s="12"/>
      <c r="B234" s="20" t="str">
        <f>IF(A234="","",IFERROR(VLOOKUP(A234,PROFESSORES!A:B,2,FALSE),""))</f>
        <v/>
      </c>
      <c r="C234" s="12"/>
      <c r="D234" s="21"/>
      <c r="E234" s="21"/>
      <c r="F234" s="12"/>
      <c r="G234" s="13" t="str">
        <f t="shared" si="1"/>
        <v/>
      </c>
    </row>
    <row r="235" ht="15.75" customHeight="1">
      <c r="A235" s="10"/>
      <c r="B235" s="18" t="str">
        <f>IF(A235="","",IFERROR(VLOOKUP(A235,PROFESSORES!A:B,2,FALSE),""))</f>
        <v/>
      </c>
      <c r="C235" s="10"/>
      <c r="D235" s="19"/>
      <c r="E235" s="19"/>
      <c r="F235" s="10"/>
      <c r="G235" s="11" t="str">
        <f t="shared" si="1"/>
        <v/>
      </c>
    </row>
    <row r="236" ht="15.75" customHeight="1">
      <c r="A236" s="12"/>
      <c r="B236" s="20" t="str">
        <f>IF(A236="","",IFERROR(VLOOKUP(A236,PROFESSORES!A:B,2,FALSE),""))</f>
        <v/>
      </c>
      <c r="C236" s="12"/>
      <c r="D236" s="21"/>
      <c r="E236" s="21"/>
      <c r="F236" s="12"/>
      <c r="G236" s="13" t="str">
        <f t="shared" si="1"/>
        <v/>
      </c>
    </row>
    <row r="237" ht="15.75" customHeight="1">
      <c r="A237" s="10"/>
      <c r="B237" s="18" t="str">
        <f>IF(A237="","",IFERROR(VLOOKUP(A237,PROFESSORES!A:B,2,FALSE),""))</f>
        <v/>
      </c>
      <c r="C237" s="10"/>
      <c r="D237" s="19"/>
      <c r="E237" s="19"/>
      <c r="F237" s="10"/>
      <c r="G237" s="11" t="str">
        <f t="shared" si="1"/>
        <v/>
      </c>
    </row>
    <row r="238" ht="15.75" customHeight="1">
      <c r="A238" s="12"/>
      <c r="B238" s="20" t="str">
        <f>IF(A238="","",IFERROR(VLOOKUP(A238,PROFESSORES!A:B,2,FALSE),""))</f>
        <v/>
      </c>
      <c r="C238" s="12"/>
      <c r="D238" s="21"/>
      <c r="E238" s="21"/>
      <c r="F238" s="12"/>
      <c r="G238" s="13" t="str">
        <f t="shared" si="1"/>
        <v/>
      </c>
    </row>
    <row r="239" ht="15.75" customHeight="1">
      <c r="A239" s="10"/>
      <c r="B239" s="18" t="str">
        <f>IF(A239="","",IFERROR(VLOOKUP(A239,PROFESSORES!A:B,2,FALSE),""))</f>
        <v/>
      </c>
      <c r="C239" s="10"/>
      <c r="D239" s="19"/>
      <c r="E239" s="19"/>
      <c r="F239" s="10"/>
      <c r="G239" s="11" t="str">
        <f t="shared" si="1"/>
        <v/>
      </c>
    </row>
    <row r="240" ht="15.75" customHeight="1">
      <c r="A240" s="12"/>
      <c r="B240" s="20" t="str">
        <f>IF(A240="","",IFERROR(VLOOKUP(A240,PROFESSORES!A:B,2,FALSE),""))</f>
        <v/>
      </c>
      <c r="C240" s="12"/>
      <c r="D240" s="21"/>
      <c r="E240" s="21"/>
      <c r="F240" s="12"/>
      <c r="G240" s="13" t="str">
        <f t="shared" si="1"/>
        <v/>
      </c>
    </row>
    <row r="241" ht="15.75" customHeight="1">
      <c r="A241" s="10"/>
      <c r="B241" s="18" t="str">
        <f>IF(A241="","",IFERROR(VLOOKUP(A241,PROFESSORES!A:B,2,FALSE),""))</f>
        <v/>
      </c>
      <c r="C241" s="10"/>
      <c r="D241" s="19"/>
      <c r="E241" s="19"/>
      <c r="F241" s="10"/>
      <c r="G241" s="11" t="str">
        <f t="shared" si="1"/>
        <v/>
      </c>
    </row>
    <row r="242" ht="15.75" customHeight="1">
      <c r="A242" s="12"/>
      <c r="B242" s="20" t="str">
        <f>IF(A242="","",IFERROR(VLOOKUP(A242,PROFESSORES!A:B,2,FALSE),""))</f>
        <v/>
      </c>
      <c r="C242" s="12"/>
      <c r="D242" s="21"/>
      <c r="E242" s="21"/>
      <c r="F242" s="12"/>
      <c r="G242" s="13" t="str">
        <f t="shared" si="1"/>
        <v/>
      </c>
    </row>
    <row r="243" ht="15.75" customHeight="1">
      <c r="A243" s="10"/>
      <c r="B243" s="18" t="str">
        <f>IF(A243="","",IFERROR(VLOOKUP(A243,PROFESSORES!A:B,2,FALSE),""))</f>
        <v/>
      </c>
      <c r="C243" s="10"/>
      <c r="D243" s="19"/>
      <c r="E243" s="19"/>
      <c r="F243" s="10"/>
      <c r="G243" s="11" t="str">
        <f t="shared" si="1"/>
        <v/>
      </c>
    </row>
    <row r="244" ht="15.75" customHeight="1">
      <c r="A244" s="12"/>
      <c r="B244" s="20" t="str">
        <f>IF(A244="","",IFERROR(VLOOKUP(A244,PROFESSORES!A:B,2,FALSE),""))</f>
        <v/>
      </c>
      <c r="C244" s="12"/>
      <c r="D244" s="21"/>
      <c r="E244" s="21"/>
      <c r="F244" s="12"/>
      <c r="G244" s="13" t="str">
        <f t="shared" si="1"/>
        <v/>
      </c>
    </row>
    <row r="245" ht="15.75" customHeight="1">
      <c r="A245" s="10"/>
      <c r="B245" s="18" t="str">
        <f>IF(A245="","",IFERROR(VLOOKUP(A245,PROFESSORES!A:B,2,FALSE),""))</f>
        <v/>
      </c>
      <c r="C245" s="10"/>
      <c r="D245" s="19"/>
      <c r="E245" s="19"/>
      <c r="F245" s="10"/>
      <c r="G245" s="11" t="str">
        <f t="shared" si="1"/>
        <v/>
      </c>
    </row>
    <row r="246" ht="15.75" customHeight="1">
      <c r="A246" s="12"/>
      <c r="B246" s="20" t="str">
        <f>IF(A246="","",IFERROR(VLOOKUP(A246,PROFESSORES!A:B,2,FALSE),""))</f>
        <v/>
      </c>
      <c r="C246" s="12"/>
      <c r="D246" s="21"/>
      <c r="E246" s="21"/>
      <c r="F246" s="12"/>
      <c r="G246" s="13" t="str">
        <f t="shared" si="1"/>
        <v/>
      </c>
    </row>
    <row r="247" ht="15.75" customHeight="1">
      <c r="A247" s="10"/>
      <c r="B247" s="18" t="str">
        <f>IF(A247="","",IFERROR(VLOOKUP(A247,PROFESSORES!A:B,2,FALSE),""))</f>
        <v/>
      </c>
      <c r="C247" s="10"/>
      <c r="D247" s="19"/>
      <c r="E247" s="19"/>
      <c r="F247" s="10"/>
      <c r="G247" s="11" t="str">
        <f t="shared" si="1"/>
        <v/>
      </c>
    </row>
    <row r="248" ht="15.75" customHeight="1">
      <c r="A248" s="12"/>
      <c r="B248" s="20" t="str">
        <f>IF(A248="","",IFERROR(VLOOKUP(A248,PROFESSORES!A:B,2,FALSE),""))</f>
        <v/>
      </c>
      <c r="C248" s="12"/>
      <c r="D248" s="21"/>
      <c r="E248" s="21"/>
      <c r="F248" s="12"/>
      <c r="G248" s="13" t="str">
        <f t="shared" si="1"/>
        <v/>
      </c>
    </row>
    <row r="249" ht="15.75" customHeight="1">
      <c r="A249" s="10"/>
      <c r="B249" s="18" t="str">
        <f>IF(A249="","",IFERROR(VLOOKUP(A249,PROFESSORES!A:B,2,FALSE),""))</f>
        <v/>
      </c>
      <c r="C249" s="10"/>
      <c r="D249" s="19"/>
      <c r="E249" s="19"/>
      <c r="F249" s="10"/>
      <c r="G249" s="11" t="str">
        <f t="shared" si="1"/>
        <v/>
      </c>
    </row>
    <row r="250" ht="15.75" customHeight="1">
      <c r="A250" s="12"/>
      <c r="B250" s="20" t="str">
        <f>IF(A250="","",IFERROR(VLOOKUP(A250,PROFESSORES!A:B,2,FALSE),""))</f>
        <v/>
      </c>
      <c r="C250" s="12"/>
      <c r="D250" s="21"/>
      <c r="E250" s="21"/>
      <c r="F250" s="12"/>
      <c r="G250" s="13" t="str">
        <f t="shared" si="1"/>
        <v/>
      </c>
    </row>
    <row r="251" ht="15.75" customHeight="1">
      <c r="A251" s="10"/>
      <c r="B251" s="18" t="str">
        <f>IF(A251="","",IFERROR(VLOOKUP(A251,PROFESSORES!A:B,2,FALSE),""))</f>
        <v/>
      </c>
      <c r="C251" s="10"/>
      <c r="D251" s="19"/>
      <c r="E251" s="19"/>
      <c r="F251" s="10"/>
      <c r="G251" s="11" t="str">
        <f t="shared" si="1"/>
        <v/>
      </c>
    </row>
    <row r="252" ht="15.75" customHeight="1">
      <c r="A252" s="12"/>
      <c r="B252" s="20" t="str">
        <f>IF(A252="","",IFERROR(VLOOKUP(A252,PROFESSORES!A:B,2,FALSE),""))</f>
        <v/>
      </c>
      <c r="C252" s="12"/>
      <c r="D252" s="21"/>
      <c r="E252" s="21"/>
      <c r="F252" s="12"/>
      <c r="G252" s="13" t="str">
        <f t="shared" si="1"/>
        <v/>
      </c>
    </row>
    <row r="253" ht="15.75" customHeight="1">
      <c r="A253" s="10"/>
      <c r="B253" s="18" t="str">
        <f>IF(A253="","",IFERROR(VLOOKUP(A253,PROFESSORES!A:B,2,FALSE),""))</f>
        <v/>
      </c>
      <c r="C253" s="10"/>
      <c r="D253" s="19"/>
      <c r="E253" s="19"/>
      <c r="F253" s="10"/>
      <c r="G253" s="11" t="str">
        <f t="shared" si="1"/>
        <v/>
      </c>
    </row>
    <row r="254" ht="15.75" customHeight="1">
      <c r="A254" s="12"/>
      <c r="B254" s="20" t="str">
        <f>IF(A254="","",IFERROR(VLOOKUP(A254,PROFESSORES!A:B,2,FALSE),""))</f>
        <v/>
      </c>
      <c r="C254" s="12"/>
      <c r="D254" s="21"/>
      <c r="E254" s="21"/>
      <c r="F254" s="12"/>
      <c r="G254" s="13" t="str">
        <f t="shared" si="1"/>
        <v/>
      </c>
    </row>
    <row r="255" ht="15.75" customHeight="1">
      <c r="A255" s="10"/>
      <c r="B255" s="18" t="str">
        <f>IF(A255="","",IFERROR(VLOOKUP(A255,PROFESSORES!A:B,2,FALSE),""))</f>
        <v/>
      </c>
      <c r="C255" s="10"/>
      <c r="D255" s="19"/>
      <c r="E255" s="19"/>
      <c r="F255" s="10"/>
      <c r="G255" s="11" t="str">
        <f t="shared" si="1"/>
        <v/>
      </c>
    </row>
    <row r="256" ht="15.75" customHeight="1">
      <c r="A256" s="12"/>
      <c r="B256" s="20" t="str">
        <f>IF(A256="","",IFERROR(VLOOKUP(A256,PROFESSORES!A:B,2,FALSE),""))</f>
        <v/>
      </c>
      <c r="C256" s="12"/>
      <c r="D256" s="21"/>
      <c r="E256" s="21"/>
      <c r="F256" s="12"/>
      <c r="G256" s="13" t="str">
        <f t="shared" si="1"/>
        <v/>
      </c>
    </row>
    <row r="257" ht="15.75" customHeight="1">
      <c r="A257" s="10"/>
      <c r="B257" s="18" t="str">
        <f>IF(A257="","",IFERROR(VLOOKUP(A257,PROFESSORES!A:B,2,FALSE),""))</f>
        <v/>
      </c>
      <c r="C257" s="10"/>
      <c r="D257" s="19"/>
      <c r="E257" s="19"/>
      <c r="F257" s="10"/>
      <c r="G257" s="11" t="str">
        <f t="shared" si="1"/>
        <v/>
      </c>
    </row>
    <row r="258" ht="15.75" customHeight="1">
      <c r="A258" s="12"/>
      <c r="B258" s="20" t="str">
        <f>IF(A258="","",IFERROR(VLOOKUP(A258,PROFESSORES!A:B,2,FALSE),""))</f>
        <v/>
      </c>
      <c r="C258" s="12"/>
      <c r="D258" s="21"/>
      <c r="E258" s="21"/>
      <c r="F258" s="12"/>
      <c r="G258" s="13" t="str">
        <f t="shared" si="1"/>
        <v/>
      </c>
    </row>
    <row r="259" ht="15.75" customHeight="1">
      <c r="A259" s="10"/>
      <c r="B259" s="18" t="str">
        <f>IF(A259="","",IFERROR(VLOOKUP(A259,PROFESSORES!A:B,2,FALSE),""))</f>
        <v/>
      </c>
      <c r="C259" s="10"/>
      <c r="D259" s="19"/>
      <c r="E259" s="19"/>
      <c r="F259" s="10"/>
      <c r="G259" s="11" t="str">
        <f t="shared" si="1"/>
        <v/>
      </c>
    </row>
    <row r="260" ht="15.75" customHeight="1">
      <c r="A260" s="12"/>
      <c r="B260" s="20" t="str">
        <f>IF(A260="","",IFERROR(VLOOKUP(A260,PROFESSORES!A:B,2,FALSE),""))</f>
        <v/>
      </c>
      <c r="C260" s="12"/>
      <c r="D260" s="21"/>
      <c r="E260" s="21"/>
      <c r="F260" s="12"/>
      <c r="G260" s="13" t="str">
        <f t="shared" si="1"/>
        <v/>
      </c>
    </row>
    <row r="261" ht="15.75" customHeight="1">
      <c r="A261" s="10"/>
      <c r="B261" s="18" t="str">
        <f>IF(A261="","",IFERROR(VLOOKUP(A261,PROFESSORES!A:B,2,FALSE),""))</f>
        <v/>
      </c>
      <c r="C261" s="10"/>
      <c r="D261" s="19"/>
      <c r="E261" s="19"/>
      <c r="F261" s="10"/>
      <c r="G261" s="11" t="str">
        <f t="shared" si="1"/>
        <v/>
      </c>
    </row>
    <row r="262" ht="15.75" customHeight="1">
      <c r="A262" s="12"/>
      <c r="B262" s="20" t="str">
        <f>IF(A262="","",IFERROR(VLOOKUP(A262,PROFESSORES!A:B,2,FALSE),""))</f>
        <v/>
      </c>
      <c r="C262" s="12"/>
      <c r="D262" s="21"/>
      <c r="E262" s="21"/>
      <c r="F262" s="12"/>
      <c r="G262" s="13" t="str">
        <f t="shared" si="1"/>
        <v/>
      </c>
    </row>
    <row r="263" ht="15.75" customHeight="1">
      <c r="A263" s="10"/>
      <c r="B263" s="18" t="str">
        <f>IF(A263="","",IFERROR(VLOOKUP(A263,PROFESSORES!A:B,2,FALSE),""))</f>
        <v/>
      </c>
      <c r="C263" s="10"/>
      <c r="D263" s="19"/>
      <c r="E263" s="19"/>
      <c r="F263" s="10"/>
      <c r="G263" s="11" t="str">
        <f t="shared" si="1"/>
        <v/>
      </c>
    </row>
    <row r="264" ht="15.75" customHeight="1">
      <c r="A264" s="12"/>
      <c r="B264" s="20" t="str">
        <f>IF(A264="","",IFERROR(VLOOKUP(A264,PROFESSORES!A:B,2,FALSE),""))</f>
        <v/>
      </c>
      <c r="C264" s="12"/>
      <c r="D264" s="21"/>
      <c r="E264" s="21"/>
      <c r="F264" s="12"/>
      <c r="G264" s="13" t="str">
        <f t="shared" si="1"/>
        <v/>
      </c>
    </row>
    <row r="265" ht="15.75" customHeight="1">
      <c r="A265" s="10"/>
      <c r="B265" s="18" t="str">
        <f>IF(A265="","",IFERROR(VLOOKUP(A265,PROFESSORES!A:B,2,FALSE),""))</f>
        <v/>
      </c>
      <c r="C265" s="10"/>
      <c r="D265" s="19"/>
      <c r="E265" s="19"/>
      <c r="F265" s="10"/>
      <c r="G265" s="11" t="str">
        <f t="shared" si="1"/>
        <v/>
      </c>
    </row>
    <row r="266" ht="15.75" customHeight="1">
      <c r="A266" s="12"/>
      <c r="B266" s="20" t="str">
        <f>IF(A266="","",IFERROR(VLOOKUP(A266,PROFESSORES!A:B,2,FALSE),""))</f>
        <v/>
      </c>
      <c r="C266" s="12"/>
      <c r="D266" s="21"/>
      <c r="E266" s="21"/>
      <c r="F266" s="12"/>
      <c r="G266" s="13" t="str">
        <f t="shared" si="1"/>
        <v/>
      </c>
    </row>
    <row r="267" ht="15.75" customHeight="1">
      <c r="A267" s="10"/>
      <c r="B267" s="18" t="str">
        <f>IF(A267="","",IFERROR(VLOOKUP(A267,PROFESSORES!A:B,2,FALSE),""))</f>
        <v/>
      </c>
      <c r="C267" s="10"/>
      <c r="D267" s="19"/>
      <c r="E267" s="19"/>
      <c r="F267" s="10"/>
      <c r="G267" s="11" t="str">
        <f t="shared" si="1"/>
        <v/>
      </c>
    </row>
    <row r="268" ht="15.75" customHeight="1">
      <c r="A268" s="12"/>
      <c r="B268" s="20" t="str">
        <f>IF(A268="","",IFERROR(VLOOKUP(A268,PROFESSORES!A:B,2,FALSE),""))</f>
        <v/>
      </c>
      <c r="C268" s="12"/>
      <c r="D268" s="21"/>
      <c r="E268" s="21"/>
      <c r="F268" s="12"/>
      <c r="G268" s="13" t="str">
        <f t="shared" si="1"/>
        <v/>
      </c>
    </row>
    <row r="269" ht="15.75" customHeight="1">
      <c r="A269" s="10"/>
      <c r="B269" s="18" t="str">
        <f>IF(A269="","",IFERROR(VLOOKUP(A269,PROFESSORES!A:B,2,FALSE),""))</f>
        <v/>
      </c>
      <c r="C269" s="10"/>
      <c r="D269" s="19"/>
      <c r="E269" s="19"/>
      <c r="F269" s="10"/>
      <c r="G269" s="11" t="str">
        <f t="shared" si="1"/>
        <v/>
      </c>
    </row>
    <row r="270" ht="15.75" customHeight="1">
      <c r="A270" s="12"/>
      <c r="B270" s="20" t="str">
        <f>IF(A270="","",IFERROR(VLOOKUP(A270,PROFESSORES!A:B,2,FALSE),""))</f>
        <v/>
      </c>
      <c r="C270" s="12"/>
      <c r="D270" s="21"/>
      <c r="E270" s="21"/>
      <c r="F270" s="12"/>
      <c r="G270" s="13" t="str">
        <f t="shared" si="1"/>
        <v/>
      </c>
    </row>
    <row r="271" ht="15.75" customHeight="1">
      <c r="A271" s="10"/>
      <c r="B271" s="18" t="str">
        <f>IF(A271="","",IFERROR(VLOOKUP(A271,PROFESSORES!A:B,2,FALSE),""))</f>
        <v/>
      </c>
      <c r="C271" s="10"/>
      <c r="D271" s="19"/>
      <c r="E271" s="19"/>
      <c r="F271" s="10"/>
      <c r="G271" s="11" t="str">
        <f t="shared" si="1"/>
        <v/>
      </c>
    </row>
    <row r="272" ht="15.75" customHeight="1">
      <c r="A272" s="12"/>
      <c r="B272" s="20" t="str">
        <f>IF(A272="","",IFERROR(VLOOKUP(A272,PROFESSORES!A:B,2,FALSE),""))</f>
        <v/>
      </c>
      <c r="C272" s="12"/>
      <c r="D272" s="21"/>
      <c r="E272" s="21"/>
      <c r="F272" s="12"/>
      <c r="G272" s="13" t="str">
        <f t="shared" si="1"/>
        <v/>
      </c>
    </row>
    <row r="273" ht="15.75" customHeight="1">
      <c r="A273" s="10"/>
      <c r="B273" s="18" t="str">
        <f>IF(A273="","",IFERROR(VLOOKUP(A273,PROFESSORES!A:B,2,FALSE),""))</f>
        <v/>
      </c>
      <c r="C273" s="10"/>
      <c r="D273" s="19"/>
      <c r="E273" s="19"/>
      <c r="F273" s="10"/>
      <c r="G273" s="11" t="str">
        <f t="shared" si="1"/>
        <v/>
      </c>
    </row>
    <row r="274" ht="15.75" customHeight="1">
      <c r="A274" s="12"/>
      <c r="B274" s="20" t="str">
        <f>IF(A274="","",IFERROR(VLOOKUP(A274,PROFESSORES!A:B,2,FALSE),""))</f>
        <v/>
      </c>
      <c r="C274" s="12"/>
      <c r="D274" s="21"/>
      <c r="E274" s="21"/>
      <c r="F274" s="12"/>
      <c r="G274" s="13" t="str">
        <f t="shared" si="1"/>
        <v/>
      </c>
    </row>
    <row r="275" ht="15.75" customHeight="1">
      <c r="A275" s="10"/>
      <c r="B275" s="18" t="str">
        <f>IF(A275="","",IFERROR(VLOOKUP(A275,PROFESSORES!A:B,2,FALSE),""))</f>
        <v/>
      </c>
      <c r="C275" s="10"/>
      <c r="D275" s="19"/>
      <c r="E275" s="19"/>
      <c r="F275" s="10"/>
      <c r="G275" s="11" t="str">
        <f t="shared" si="1"/>
        <v/>
      </c>
    </row>
    <row r="276" ht="15.75" customHeight="1">
      <c r="A276" s="12"/>
      <c r="B276" s="20" t="str">
        <f>IF(A276="","",IFERROR(VLOOKUP(A276,PROFESSORES!A:B,2,FALSE),""))</f>
        <v/>
      </c>
      <c r="C276" s="12"/>
      <c r="D276" s="21"/>
      <c r="E276" s="21"/>
      <c r="F276" s="12"/>
      <c r="G276" s="13" t="str">
        <f t="shared" si="1"/>
        <v/>
      </c>
    </row>
    <row r="277" ht="15.75" customHeight="1">
      <c r="A277" s="10"/>
      <c r="B277" s="18" t="str">
        <f>IF(A277="","",IFERROR(VLOOKUP(A277,PROFESSORES!A:B,2,FALSE),""))</f>
        <v/>
      </c>
      <c r="C277" s="10"/>
      <c r="D277" s="19"/>
      <c r="E277" s="19"/>
      <c r="F277" s="10"/>
      <c r="G277" s="11" t="str">
        <f t="shared" si="1"/>
        <v/>
      </c>
    </row>
    <row r="278" ht="15.75" customHeight="1">
      <c r="A278" s="12"/>
      <c r="B278" s="20" t="str">
        <f>IF(A278="","",IFERROR(VLOOKUP(A278,PROFESSORES!A:B,2,FALSE),""))</f>
        <v/>
      </c>
      <c r="C278" s="12"/>
      <c r="D278" s="21"/>
      <c r="E278" s="21"/>
      <c r="F278" s="12"/>
      <c r="G278" s="13" t="str">
        <f t="shared" si="1"/>
        <v/>
      </c>
    </row>
    <row r="279" ht="15.75" customHeight="1">
      <c r="A279" s="10"/>
      <c r="B279" s="18" t="str">
        <f>IF(A279="","",IFERROR(VLOOKUP(A279,PROFESSORES!A:B,2,FALSE),""))</f>
        <v/>
      </c>
      <c r="C279" s="10"/>
      <c r="D279" s="19"/>
      <c r="E279" s="19"/>
      <c r="F279" s="10"/>
      <c r="G279" s="11" t="str">
        <f t="shared" si="1"/>
        <v/>
      </c>
    </row>
    <row r="280" ht="15.75" customHeight="1">
      <c r="A280" s="12"/>
      <c r="B280" s="20" t="str">
        <f>IF(A280="","",IFERROR(VLOOKUP(A280,PROFESSORES!A:B,2,FALSE),""))</f>
        <v/>
      </c>
      <c r="C280" s="12"/>
      <c r="D280" s="21"/>
      <c r="E280" s="21"/>
      <c r="F280" s="12"/>
      <c r="G280" s="13" t="str">
        <f t="shared" si="1"/>
        <v/>
      </c>
    </row>
    <row r="281" ht="15.75" customHeight="1">
      <c r="A281" s="10"/>
      <c r="B281" s="18" t="str">
        <f>IF(A281="","",IFERROR(VLOOKUP(A281,PROFESSORES!A:B,2,FALSE),""))</f>
        <v/>
      </c>
      <c r="C281" s="10"/>
      <c r="D281" s="19"/>
      <c r="E281" s="19"/>
      <c r="F281" s="10"/>
      <c r="G281" s="11" t="str">
        <f t="shared" si="1"/>
        <v/>
      </c>
    </row>
    <row r="282" ht="15.75" customHeight="1">
      <c r="A282" s="12"/>
      <c r="B282" s="20" t="str">
        <f>IF(A282="","",IFERROR(VLOOKUP(A282,PROFESSORES!A:B,2,FALSE),""))</f>
        <v/>
      </c>
      <c r="C282" s="12"/>
      <c r="D282" s="21"/>
      <c r="E282" s="21"/>
      <c r="F282" s="12"/>
      <c r="G282" s="13" t="str">
        <f t="shared" si="1"/>
        <v/>
      </c>
    </row>
    <row r="283" ht="15.75" customHeight="1">
      <c r="A283" s="10"/>
      <c r="B283" s="18" t="str">
        <f>IF(A283="","",IFERROR(VLOOKUP(A283,PROFESSORES!A:B,2,FALSE),""))</f>
        <v/>
      </c>
      <c r="C283" s="10"/>
      <c r="D283" s="19"/>
      <c r="E283" s="19"/>
      <c r="F283" s="10"/>
      <c r="G283" s="11" t="str">
        <f t="shared" si="1"/>
        <v/>
      </c>
    </row>
    <row r="284" ht="15.75" customHeight="1">
      <c r="A284" s="12"/>
      <c r="B284" s="20" t="str">
        <f>IF(A284="","",IFERROR(VLOOKUP(A284,PROFESSORES!A:B,2,FALSE),""))</f>
        <v/>
      </c>
      <c r="C284" s="12"/>
      <c r="D284" s="21"/>
      <c r="E284" s="21"/>
      <c r="F284" s="12"/>
      <c r="G284" s="13" t="str">
        <f t="shared" si="1"/>
        <v/>
      </c>
    </row>
    <row r="285" ht="15.75" customHeight="1">
      <c r="A285" s="10"/>
      <c r="B285" s="18" t="str">
        <f>IF(A285="","",IFERROR(VLOOKUP(A285,PROFESSORES!A:B,2,FALSE),""))</f>
        <v/>
      </c>
      <c r="C285" s="10"/>
      <c r="D285" s="19"/>
      <c r="E285" s="19"/>
      <c r="F285" s="10"/>
      <c r="G285" s="11" t="str">
        <f t="shared" si="1"/>
        <v/>
      </c>
    </row>
    <row r="286" ht="15.75" customHeight="1">
      <c r="A286" s="12"/>
      <c r="B286" s="20" t="str">
        <f>IF(A286="","",IFERROR(VLOOKUP(A286,PROFESSORES!A:B,2,FALSE),""))</f>
        <v/>
      </c>
      <c r="C286" s="12"/>
      <c r="D286" s="21"/>
      <c r="E286" s="21"/>
      <c r="F286" s="12"/>
      <c r="G286" s="13" t="str">
        <f t="shared" si="1"/>
        <v/>
      </c>
    </row>
    <row r="287" ht="15.75" customHeight="1">
      <c r="A287" s="10"/>
      <c r="B287" s="18" t="str">
        <f>IF(A287="","",IFERROR(VLOOKUP(A287,PROFESSORES!A:B,2,FALSE),""))</f>
        <v/>
      </c>
      <c r="C287" s="10"/>
      <c r="D287" s="19"/>
      <c r="E287" s="19"/>
      <c r="F287" s="10"/>
      <c r="G287" s="11" t="str">
        <f t="shared" si="1"/>
        <v/>
      </c>
    </row>
    <row r="288" ht="15.75" customHeight="1">
      <c r="A288" s="12"/>
      <c r="B288" s="20" t="str">
        <f>IF(A288="","",IFERROR(VLOOKUP(A288,PROFESSORES!A:B,2,FALSE),""))</f>
        <v/>
      </c>
      <c r="C288" s="12"/>
      <c r="D288" s="21"/>
      <c r="E288" s="21"/>
      <c r="F288" s="12"/>
      <c r="G288" s="13" t="str">
        <f t="shared" si="1"/>
        <v/>
      </c>
    </row>
    <row r="289" ht="15.75" customHeight="1">
      <c r="A289" s="10"/>
      <c r="B289" s="18" t="str">
        <f>IF(A289="","",IFERROR(VLOOKUP(A289,PROFESSORES!A:B,2,FALSE),""))</f>
        <v/>
      </c>
      <c r="C289" s="10"/>
      <c r="D289" s="19"/>
      <c r="E289" s="19"/>
      <c r="F289" s="10"/>
      <c r="G289" s="11" t="str">
        <f t="shared" si="1"/>
        <v/>
      </c>
    </row>
    <row r="290" ht="15.75" customHeight="1">
      <c r="A290" s="12"/>
      <c r="B290" s="20" t="str">
        <f>IF(A290="","",IFERROR(VLOOKUP(A290,PROFESSORES!A:B,2,FALSE),""))</f>
        <v/>
      </c>
      <c r="C290" s="12"/>
      <c r="D290" s="21"/>
      <c r="E290" s="21"/>
      <c r="F290" s="12"/>
      <c r="G290" s="13" t="str">
        <f t="shared" si="1"/>
        <v/>
      </c>
    </row>
    <row r="291" ht="15.75" customHeight="1">
      <c r="A291" s="10"/>
      <c r="B291" s="18" t="str">
        <f>IF(A291="","",IFERROR(VLOOKUP(A291,PROFESSORES!A:B,2,FALSE),""))</f>
        <v/>
      </c>
      <c r="C291" s="10"/>
      <c r="D291" s="19"/>
      <c r="E291" s="19"/>
      <c r="F291" s="10"/>
      <c r="G291" s="11" t="str">
        <f t="shared" si="1"/>
        <v/>
      </c>
    </row>
    <row r="292" ht="15.75" customHeight="1">
      <c r="A292" s="12"/>
      <c r="B292" s="20" t="str">
        <f>IF(A292="","",IFERROR(VLOOKUP(A292,PROFESSORES!A:B,2,FALSE),""))</f>
        <v/>
      </c>
      <c r="C292" s="12"/>
      <c r="D292" s="21"/>
      <c r="E292" s="21"/>
      <c r="F292" s="12"/>
      <c r="G292" s="13" t="str">
        <f t="shared" si="1"/>
        <v/>
      </c>
    </row>
    <row r="293" ht="15.75" customHeight="1">
      <c r="A293" s="10"/>
      <c r="B293" s="18" t="str">
        <f>IF(A293="","",IFERROR(VLOOKUP(A293,PROFESSORES!A:B,2,FALSE),""))</f>
        <v/>
      </c>
      <c r="C293" s="10"/>
      <c r="D293" s="19"/>
      <c r="E293" s="19"/>
      <c r="F293" s="10"/>
      <c r="G293" s="11" t="str">
        <f t="shared" si="1"/>
        <v/>
      </c>
    </row>
    <row r="294" ht="15.75" customHeight="1">
      <c r="A294" s="12"/>
      <c r="B294" s="20" t="str">
        <f>IF(A294="","",IFERROR(VLOOKUP(A294,PROFESSORES!A:B,2,FALSE),""))</f>
        <v/>
      </c>
      <c r="C294" s="12"/>
      <c r="D294" s="21"/>
      <c r="E294" s="21"/>
      <c r="F294" s="12"/>
      <c r="G294" s="13" t="str">
        <f t="shared" si="1"/>
        <v/>
      </c>
    </row>
    <row r="295" ht="15.75" customHeight="1">
      <c r="A295" s="10"/>
      <c r="B295" s="18" t="str">
        <f>IF(A295="","",IFERROR(VLOOKUP(A295,PROFESSORES!A:B,2,FALSE),""))</f>
        <v/>
      </c>
      <c r="C295" s="10"/>
      <c r="D295" s="19"/>
      <c r="E295" s="19"/>
      <c r="F295" s="10"/>
      <c r="G295" s="11" t="str">
        <f t="shared" si="1"/>
        <v/>
      </c>
    </row>
    <row r="296" ht="15.75" customHeight="1">
      <c r="A296" s="12"/>
      <c r="B296" s="20" t="str">
        <f>IF(A296="","",IFERROR(VLOOKUP(A296,PROFESSORES!A:B,2,FALSE),""))</f>
        <v/>
      </c>
      <c r="C296" s="12"/>
      <c r="D296" s="21"/>
      <c r="E296" s="21"/>
      <c r="F296" s="12"/>
      <c r="G296" s="13" t="str">
        <f t="shared" si="1"/>
        <v/>
      </c>
    </row>
    <row r="297" ht="15.75" customHeight="1">
      <c r="A297" s="10"/>
      <c r="B297" s="18" t="str">
        <f>IF(A297="","",IFERROR(VLOOKUP(A297,PROFESSORES!A:B,2,FALSE),""))</f>
        <v/>
      </c>
      <c r="C297" s="10"/>
      <c r="D297" s="19"/>
      <c r="E297" s="19"/>
      <c r="F297" s="10"/>
      <c r="G297" s="11" t="str">
        <f t="shared" si="1"/>
        <v/>
      </c>
    </row>
    <row r="298" ht="15.75" customHeight="1">
      <c r="A298" s="12"/>
      <c r="B298" s="20" t="str">
        <f>IF(A298="","",IFERROR(VLOOKUP(A298,PROFESSORES!A:B,2,FALSE),""))</f>
        <v/>
      </c>
      <c r="C298" s="12"/>
      <c r="D298" s="21"/>
      <c r="E298" s="21"/>
      <c r="F298" s="12"/>
      <c r="G298" s="13" t="str">
        <f t="shared" si="1"/>
        <v/>
      </c>
    </row>
    <row r="299" ht="15.75" customHeight="1">
      <c r="A299" s="10"/>
      <c r="B299" s="18" t="str">
        <f>IF(A299="","",IFERROR(VLOOKUP(A299,PROFESSORES!A:B,2,FALSE),""))</f>
        <v/>
      </c>
      <c r="C299" s="10"/>
      <c r="D299" s="19"/>
      <c r="E299" s="19"/>
      <c r="F299" s="10"/>
      <c r="G299" s="11" t="str">
        <f t="shared" si="1"/>
        <v/>
      </c>
    </row>
    <row r="300" ht="15.75" customHeight="1">
      <c r="A300" s="12"/>
      <c r="B300" s="20" t="str">
        <f>IF(A300="","",IFERROR(VLOOKUP(A300,PROFESSORES!A:B,2,FALSE),""))</f>
        <v/>
      </c>
      <c r="C300" s="12"/>
      <c r="D300" s="21"/>
      <c r="E300" s="21"/>
      <c r="F300" s="12"/>
      <c r="G300" s="13" t="str">
        <f t="shared" si="1"/>
        <v/>
      </c>
    </row>
    <row r="301" ht="15.75" customHeight="1">
      <c r="A301" s="10"/>
      <c r="B301" s="18" t="str">
        <f>IF(A301="","",IFERROR(VLOOKUP(A301,PROFESSORES!A:B,2,FALSE),""))</f>
        <v/>
      </c>
      <c r="C301" s="10"/>
      <c r="D301" s="19"/>
      <c r="E301" s="19"/>
      <c r="F301" s="10"/>
      <c r="G301" s="11" t="str">
        <f t="shared" si="1"/>
        <v/>
      </c>
    </row>
    <row r="302" ht="15.75" customHeight="1">
      <c r="A302" s="12"/>
      <c r="B302" s="20" t="str">
        <f>IF(A302="","",IFERROR(VLOOKUP(A302,PROFESSORES!A:B,2,FALSE),""))</f>
        <v/>
      </c>
      <c r="C302" s="12"/>
      <c r="D302" s="21"/>
      <c r="E302" s="21"/>
      <c r="F302" s="12"/>
      <c r="G302" s="13" t="str">
        <f t="shared" si="1"/>
        <v/>
      </c>
    </row>
    <row r="303" ht="15.75" customHeight="1">
      <c r="A303" s="10"/>
      <c r="B303" s="18" t="str">
        <f>IF(A303="","",IFERROR(VLOOKUP(A303,PROFESSORES!A:B,2,FALSE),""))</f>
        <v/>
      </c>
      <c r="C303" s="10"/>
      <c r="D303" s="19"/>
      <c r="E303" s="19"/>
      <c r="F303" s="10"/>
      <c r="G303" s="11" t="str">
        <f t="shared" si="1"/>
        <v/>
      </c>
    </row>
    <row r="304" ht="15.75" customHeight="1">
      <c r="A304" s="12"/>
      <c r="B304" s="20" t="str">
        <f>IF(A304="","",IFERROR(VLOOKUP(A304,PROFESSORES!A:B,2,FALSE),""))</f>
        <v/>
      </c>
      <c r="C304" s="12"/>
      <c r="D304" s="21"/>
      <c r="E304" s="21"/>
      <c r="F304" s="12"/>
      <c r="G304" s="13" t="str">
        <f t="shared" si="1"/>
        <v/>
      </c>
    </row>
    <row r="305" ht="15.75" customHeight="1">
      <c r="A305" s="10"/>
      <c r="B305" s="18" t="str">
        <f>IF(A305="","",IFERROR(VLOOKUP(A305,PROFESSORES!A:B,2,FALSE),""))</f>
        <v/>
      </c>
      <c r="C305" s="10"/>
      <c r="D305" s="19"/>
      <c r="E305" s="19"/>
      <c r="F305" s="10"/>
      <c r="G305" s="11" t="str">
        <f t="shared" si="1"/>
        <v/>
      </c>
    </row>
    <row r="306" ht="15.75" customHeight="1">
      <c r="A306" s="12"/>
      <c r="B306" s="20" t="str">
        <f>IF(A306="","",IFERROR(VLOOKUP(A306,PROFESSORES!A:B,2,FALSE),""))</f>
        <v/>
      </c>
      <c r="C306" s="12"/>
      <c r="D306" s="21"/>
      <c r="E306" s="21"/>
      <c r="F306" s="12"/>
      <c r="G306" s="13" t="str">
        <f t="shared" si="1"/>
        <v/>
      </c>
    </row>
    <row r="307" ht="15.75" customHeight="1">
      <c r="A307" s="10"/>
      <c r="B307" s="18" t="str">
        <f>IF(A307="","",IFERROR(VLOOKUP(A307,PROFESSORES!A:B,2,FALSE),""))</f>
        <v/>
      </c>
      <c r="C307" s="10"/>
      <c r="D307" s="19"/>
      <c r="E307" s="19"/>
      <c r="F307" s="10"/>
      <c r="G307" s="11" t="str">
        <f t="shared" si="1"/>
        <v/>
      </c>
    </row>
    <row r="308" ht="15.75" customHeight="1">
      <c r="A308" s="12"/>
      <c r="B308" s="20" t="str">
        <f>IF(A308="","",IFERROR(VLOOKUP(A308,PROFESSORES!A:B,2,FALSE),""))</f>
        <v/>
      </c>
      <c r="C308" s="12"/>
      <c r="D308" s="21"/>
      <c r="E308" s="21"/>
      <c r="F308" s="12"/>
      <c r="G308" s="13" t="str">
        <f t="shared" si="1"/>
        <v/>
      </c>
    </row>
    <row r="309" ht="15.75" customHeight="1">
      <c r="A309" s="10"/>
      <c r="B309" s="18" t="str">
        <f>IF(A309="","",IFERROR(VLOOKUP(A309,PROFESSORES!A:B,2,FALSE),""))</f>
        <v/>
      </c>
      <c r="C309" s="10"/>
      <c r="D309" s="19"/>
      <c r="E309" s="19"/>
      <c r="F309" s="10"/>
      <c r="G309" s="11" t="str">
        <f t="shared" si="1"/>
        <v/>
      </c>
    </row>
    <row r="310" ht="15.75" customHeight="1">
      <c r="A310" s="12"/>
      <c r="B310" s="20" t="str">
        <f>IF(A310="","",IFERROR(VLOOKUP(A310,PROFESSORES!A:B,2,FALSE),""))</f>
        <v/>
      </c>
      <c r="C310" s="12"/>
      <c r="D310" s="21"/>
      <c r="E310" s="21"/>
      <c r="F310" s="12"/>
      <c r="G310" s="13" t="str">
        <f t="shared" si="1"/>
        <v/>
      </c>
    </row>
    <row r="311" ht="15.75" customHeight="1">
      <c r="A311" s="10"/>
      <c r="B311" s="18" t="str">
        <f>IF(A311="","",IFERROR(VLOOKUP(A311,PROFESSORES!A:B,2,FALSE),""))</f>
        <v/>
      </c>
      <c r="C311" s="10"/>
      <c r="D311" s="19"/>
      <c r="E311" s="19"/>
      <c r="F311" s="10"/>
      <c r="G311" s="11" t="str">
        <f t="shared" si="1"/>
        <v/>
      </c>
    </row>
    <row r="312" ht="15.75" customHeight="1">
      <c r="A312" s="12"/>
      <c r="B312" s="20" t="str">
        <f>IF(A312="","",IFERROR(VLOOKUP(A312,PROFESSORES!A:B,2,FALSE),""))</f>
        <v/>
      </c>
      <c r="C312" s="12"/>
      <c r="D312" s="21"/>
      <c r="E312" s="21"/>
      <c r="F312" s="12"/>
      <c r="G312" s="13" t="str">
        <f t="shared" si="1"/>
        <v/>
      </c>
    </row>
    <row r="313" ht="15.75" customHeight="1">
      <c r="A313" s="10"/>
      <c r="B313" s="18" t="str">
        <f>IF(A313="","",IFERROR(VLOOKUP(A313,PROFESSORES!A:B,2,FALSE),""))</f>
        <v/>
      </c>
      <c r="C313" s="10"/>
      <c r="D313" s="19"/>
      <c r="E313" s="19"/>
      <c r="F313" s="10"/>
      <c r="G313" s="11" t="str">
        <f t="shared" si="1"/>
        <v/>
      </c>
    </row>
    <row r="314" ht="15.75" customHeight="1">
      <c r="A314" s="12"/>
      <c r="B314" s="20" t="str">
        <f>IF(A314="","",IFERROR(VLOOKUP(A314,PROFESSORES!A:B,2,FALSE),""))</f>
        <v/>
      </c>
      <c r="C314" s="12"/>
      <c r="D314" s="21"/>
      <c r="E314" s="21"/>
      <c r="F314" s="12"/>
      <c r="G314" s="13" t="str">
        <f t="shared" si="1"/>
        <v/>
      </c>
    </row>
    <row r="315" ht="15.75" customHeight="1">
      <c r="A315" s="10"/>
      <c r="B315" s="18" t="str">
        <f>IF(A315="","",IFERROR(VLOOKUP(A315,PROFESSORES!A:B,2,FALSE),""))</f>
        <v/>
      </c>
      <c r="C315" s="10"/>
      <c r="D315" s="19"/>
      <c r="E315" s="19"/>
      <c r="F315" s="10"/>
      <c r="G315" s="11" t="str">
        <f t="shared" si="1"/>
        <v/>
      </c>
    </row>
    <row r="316" ht="15.75" customHeight="1">
      <c r="A316" s="12"/>
      <c r="B316" s="20" t="str">
        <f>IF(A316="","",IFERROR(VLOOKUP(A316,PROFESSORES!A:B,2,FALSE),""))</f>
        <v/>
      </c>
      <c r="C316" s="12"/>
      <c r="D316" s="21"/>
      <c r="E316" s="21"/>
      <c r="F316" s="12"/>
      <c r="G316" s="13" t="str">
        <f t="shared" si="1"/>
        <v/>
      </c>
    </row>
    <row r="317" ht="15.75" customHeight="1">
      <c r="A317" s="10"/>
      <c r="B317" s="18" t="str">
        <f>IF(A317="","",IFERROR(VLOOKUP(A317,PROFESSORES!A:B,2,FALSE),""))</f>
        <v/>
      </c>
      <c r="C317" s="10"/>
      <c r="D317" s="19"/>
      <c r="E317" s="19"/>
      <c r="F317" s="10"/>
      <c r="G317" s="11" t="str">
        <f t="shared" si="1"/>
        <v/>
      </c>
    </row>
    <row r="318" ht="15.75" customHeight="1">
      <c r="A318" s="12"/>
      <c r="B318" s="20" t="str">
        <f>IF(A318="","",IFERROR(VLOOKUP(A318,PROFESSORES!A:B,2,FALSE),""))</f>
        <v/>
      </c>
      <c r="C318" s="12"/>
      <c r="D318" s="21"/>
      <c r="E318" s="21"/>
      <c r="F318" s="12"/>
      <c r="G318" s="13" t="str">
        <f t="shared" si="1"/>
        <v/>
      </c>
    </row>
    <row r="319" ht="15.75" customHeight="1">
      <c r="A319" s="10"/>
      <c r="B319" s="18" t="str">
        <f>IF(A319="","",IFERROR(VLOOKUP(A319,PROFESSORES!A:B,2,FALSE),""))</f>
        <v/>
      </c>
      <c r="C319" s="10"/>
      <c r="D319" s="19"/>
      <c r="E319" s="19"/>
      <c r="F319" s="10"/>
      <c r="G319" s="11" t="str">
        <f t="shared" si="1"/>
        <v/>
      </c>
    </row>
    <row r="320" ht="15.75" customHeight="1">
      <c r="A320" s="12"/>
      <c r="B320" s="20" t="str">
        <f>IF(A320="","",IFERROR(VLOOKUP(A320,PROFESSORES!A:B,2,FALSE),""))</f>
        <v/>
      </c>
      <c r="C320" s="12"/>
      <c r="D320" s="21"/>
      <c r="E320" s="21"/>
      <c r="F320" s="12"/>
      <c r="G320" s="13" t="str">
        <f t="shared" si="1"/>
        <v/>
      </c>
    </row>
    <row r="321" ht="15.75" customHeight="1">
      <c r="A321" s="10"/>
      <c r="B321" s="18" t="str">
        <f>IF(A321="","",IFERROR(VLOOKUP(A321,PROFESSORES!A:B,2,FALSE),""))</f>
        <v/>
      </c>
      <c r="C321" s="10"/>
      <c r="D321" s="19"/>
      <c r="E321" s="19"/>
      <c r="F321" s="10"/>
      <c r="G321" s="11" t="str">
        <f t="shared" si="1"/>
        <v/>
      </c>
    </row>
    <row r="322" ht="15.75" customHeight="1">
      <c r="A322" s="12"/>
      <c r="B322" s="20" t="str">
        <f>IF(A322="","",IFERROR(VLOOKUP(A322,PROFESSORES!A:B,2,FALSE),""))</f>
        <v/>
      </c>
      <c r="C322" s="12"/>
      <c r="D322" s="21"/>
      <c r="E322" s="21"/>
      <c r="F322" s="12"/>
      <c r="G322" s="13" t="str">
        <f t="shared" si="1"/>
        <v/>
      </c>
    </row>
    <row r="323" ht="15.75" customHeight="1">
      <c r="A323" s="10"/>
      <c r="B323" s="18" t="str">
        <f>IF(A323="","",IFERROR(VLOOKUP(A323,PROFESSORES!A:B,2,FALSE),""))</f>
        <v/>
      </c>
      <c r="C323" s="10"/>
      <c r="D323" s="19"/>
      <c r="E323" s="19"/>
      <c r="F323" s="10"/>
      <c r="G323" s="11" t="str">
        <f t="shared" si="1"/>
        <v/>
      </c>
    </row>
    <row r="324" ht="15.75" customHeight="1">
      <c r="A324" s="12"/>
      <c r="B324" s="20" t="str">
        <f>IF(A324="","",IFERROR(VLOOKUP(A324,PROFESSORES!A:B,2,FALSE),""))</f>
        <v/>
      </c>
      <c r="C324" s="12"/>
      <c r="D324" s="21"/>
      <c r="E324" s="21"/>
      <c r="F324" s="12"/>
      <c r="G324" s="13" t="str">
        <f t="shared" si="1"/>
        <v/>
      </c>
    </row>
    <row r="325" ht="15.75" customHeight="1">
      <c r="A325" s="10"/>
      <c r="B325" s="18" t="str">
        <f>IF(A325="","",IFERROR(VLOOKUP(A325,PROFESSORES!A:B,2,FALSE),""))</f>
        <v/>
      </c>
      <c r="C325" s="10"/>
      <c r="D325" s="19"/>
      <c r="E325" s="19"/>
      <c r="F325" s="10"/>
      <c r="G325" s="11" t="str">
        <f t="shared" si="1"/>
        <v/>
      </c>
    </row>
    <row r="326" ht="15.75" customHeight="1">
      <c r="A326" s="12"/>
      <c r="B326" s="20" t="str">
        <f>IF(A326="","",IFERROR(VLOOKUP(A326,PROFESSORES!A:B,2,FALSE),""))</f>
        <v/>
      </c>
      <c r="C326" s="12"/>
      <c r="D326" s="21"/>
      <c r="E326" s="21"/>
      <c r="F326" s="12"/>
      <c r="G326" s="13" t="str">
        <f t="shared" si="1"/>
        <v/>
      </c>
    </row>
    <row r="327" ht="15.75" customHeight="1">
      <c r="A327" s="10"/>
      <c r="B327" s="18" t="str">
        <f>IF(A327="","",IFERROR(VLOOKUP(A327,PROFESSORES!A:B,2,FALSE),""))</f>
        <v/>
      </c>
      <c r="C327" s="10"/>
      <c r="D327" s="19"/>
      <c r="E327" s="19"/>
      <c r="F327" s="10"/>
      <c r="G327" s="11" t="str">
        <f t="shared" si="1"/>
        <v/>
      </c>
    </row>
    <row r="328" ht="15.75" customHeight="1">
      <c r="A328" s="12"/>
      <c r="B328" s="20" t="str">
        <f>IF(A328="","",IFERROR(VLOOKUP(A328,PROFESSORES!A:B,2,FALSE),""))</f>
        <v/>
      </c>
      <c r="C328" s="12"/>
      <c r="D328" s="21"/>
      <c r="E328" s="21"/>
      <c r="F328" s="12"/>
      <c r="G328" s="13" t="str">
        <f t="shared" si="1"/>
        <v/>
      </c>
    </row>
    <row r="329" ht="15.75" customHeight="1">
      <c r="A329" s="10"/>
      <c r="B329" s="18" t="str">
        <f>IF(A329="","",IFERROR(VLOOKUP(A329,PROFESSORES!A:B,2,FALSE),""))</f>
        <v/>
      </c>
      <c r="C329" s="10"/>
      <c r="D329" s="19"/>
      <c r="E329" s="19"/>
      <c r="F329" s="10"/>
      <c r="G329" s="11" t="str">
        <f t="shared" si="1"/>
        <v/>
      </c>
    </row>
    <row r="330" ht="15.75" customHeight="1">
      <c r="A330" s="12"/>
      <c r="B330" s="20" t="str">
        <f>IF(A330="","",IFERROR(VLOOKUP(A330,PROFESSORES!A:B,2,FALSE),""))</f>
        <v/>
      </c>
      <c r="C330" s="12"/>
      <c r="D330" s="21"/>
      <c r="E330" s="21"/>
      <c r="F330" s="12"/>
      <c r="G330" s="13" t="str">
        <f t="shared" si="1"/>
        <v/>
      </c>
    </row>
    <row r="331" ht="15.75" customHeight="1">
      <c r="A331" s="10"/>
      <c r="B331" s="18" t="str">
        <f>IF(A331="","",IFERROR(VLOOKUP(A331,PROFESSORES!A:B,2,FALSE),""))</f>
        <v/>
      </c>
      <c r="C331" s="10"/>
      <c r="D331" s="19"/>
      <c r="E331" s="19"/>
      <c r="F331" s="10"/>
      <c r="G331" s="11" t="str">
        <f t="shared" si="1"/>
        <v/>
      </c>
    </row>
    <row r="332" ht="15.75" customHeight="1">
      <c r="A332" s="12"/>
      <c r="B332" s="20" t="str">
        <f>IF(A332="","",IFERROR(VLOOKUP(A332,PROFESSORES!A:B,2,FALSE),""))</f>
        <v/>
      </c>
      <c r="C332" s="12"/>
      <c r="D332" s="21"/>
      <c r="E332" s="21"/>
      <c r="F332" s="12"/>
      <c r="G332" s="13" t="str">
        <f t="shared" si="1"/>
        <v/>
      </c>
    </row>
    <row r="333" ht="15.75" customHeight="1">
      <c r="A333" s="10"/>
      <c r="B333" s="18" t="str">
        <f>IF(A333="","",IFERROR(VLOOKUP(A333,PROFESSORES!A:B,2,FALSE),""))</f>
        <v/>
      </c>
      <c r="C333" s="10"/>
      <c r="D333" s="19"/>
      <c r="E333" s="19"/>
      <c r="F333" s="10"/>
      <c r="G333" s="11" t="str">
        <f t="shared" si="1"/>
        <v/>
      </c>
    </row>
    <row r="334" ht="15.75" customHeight="1">
      <c r="A334" s="12"/>
      <c r="B334" s="20" t="str">
        <f>IF(A334="","",IFERROR(VLOOKUP(A334,PROFESSORES!A:B,2,FALSE),""))</f>
        <v/>
      </c>
      <c r="C334" s="12"/>
      <c r="D334" s="21"/>
      <c r="E334" s="21"/>
      <c r="F334" s="12"/>
      <c r="G334" s="13" t="str">
        <f t="shared" si="1"/>
        <v/>
      </c>
    </row>
    <row r="335" ht="15.75" customHeight="1">
      <c r="A335" s="10"/>
      <c r="B335" s="18" t="str">
        <f>IF(A335="","",IFERROR(VLOOKUP(A335,PROFESSORES!A:B,2,FALSE),""))</f>
        <v/>
      </c>
      <c r="C335" s="10"/>
      <c r="D335" s="19"/>
      <c r="E335" s="19"/>
      <c r="F335" s="10"/>
      <c r="G335" s="11" t="str">
        <f t="shared" si="1"/>
        <v/>
      </c>
    </row>
    <row r="336" ht="15.75" customHeight="1">
      <c r="A336" s="12"/>
      <c r="B336" s="20" t="str">
        <f>IF(A336="","",IFERROR(VLOOKUP(A336,PROFESSORES!A:B,2,FALSE),""))</f>
        <v/>
      </c>
      <c r="C336" s="12"/>
      <c r="D336" s="21"/>
      <c r="E336" s="21"/>
      <c r="F336" s="12"/>
      <c r="G336" s="13" t="str">
        <f t="shared" si="1"/>
        <v/>
      </c>
    </row>
    <row r="337" ht="15.75" customHeight="1">
      <c r="A337" s="10"/>
      <c r="B337" s="18" t="str">
        <f>IF(A337="","",IFERROR(VLOOKUP(A337,PROFESSORES!A:B,2,FALSE),""))</f>
        <v/>
      </c>
      <c r="C337" s="10"/>
      <c r="D337" s="19"/>
      <c r="E337" s="19"/>
      <c r="F337" s="10"/>
      <c r="G337" s="11" t="str">
        <f t="shared" si="1"/>
        <v/>
      </c>
    </row>
    <row r="338" ht="15.75" customHeight="1">
      <c r="A338" s="12"/>
      <c r="B338" s="20" t="str">
        <f>IF(A338="","",IFERROR(VLOOKUP(A338,PROFESSORES!A:B,2,FALSE),""))</f>
        <v/>
      </c>
      <c r="C338" s="12"/>
      <c r="D338" s="21"/>
      <c r="E338" s="21"/>
      <c r="F338" s="12"/>
      <c r="G338" s="13" t="str">
        <f t="shared" si="1"/>
        <v/>
      </c>
    </row>
    <row r="339" ht="15.75" customHeight="1">
      <c r="A339" s="10"/>
      <c r="B339" s="18" t="str">
        <f>IF(A339="","",IFERROR(VLOOKUP(A339,PROFESSORES!A:B,2,FALSE),""))</f>
        <v/>
      </c>
      <c r="C339" s="10"/>
      <c r="D339" s="19"/>
      <c r="E339" s="19"/>
      <c r="F339" s="10"/>
      <c r="G339" s="11" t="str">
        <f t="shared" si="1"/>
        <v/>
      </c>
    </row>
    <row r="340" ht="15.75" customHeight="1">
      <c r="A340" s="12"/>
      <c r="B340" s="20" t="str">
        <f>IF(A340="","",IFERROR(VLOOKUP(A340,PROFESSORES!A:B,2,FALSE),""))</f>
        <v/>
      </c>
      <c r="C340" s="12"/>
      <c r="D340" s="21"/>
      <c r="E340" s="21"/>
      <c r="F340" s="12"/>
      <c r="G340" s="13" t="str">
        <f t="shared" si="1"/>
        <v/>
      </c>
    </row>
    <row r="341" ht="15.75" customHeight="1">
      <c r="A341" s="10"/>
      <c r="B341" s="18" t="str">
        <f>IF(A341="","",IFERROR(VLOOKUP(A341,PROFESSORES!A:B,2,FALSE),""))</f>
        <v/>
      </c>
      <c r="C341" s="10"/>
      <c r="D341" s="19"/>
      <c r="E341" s="19"/>
      <c r="F341" s="10"/>
      <c r="G341" s="11" t="str">
        <f t="shared" si="1"/>
        <v/>
      </c>
    </row>
    <row r="342" ht="15.75" customHeight="1">
      <c r="A342" s="12"/>
      <c r="B342" s="20" t="str">
        <f>IF(A342="","",IFERROR(VLOOKUP(A342,PROFESSORES!A:B,2,FALSE),""))</f>
        <v/>
      </c>
      <c r="C342" s="12"/>
      <c r="D342" s="21"/>
      <c r="E342" s="21"/>
      <c r="F342" s="12"/>
      <c r="G342" s="13" t="str">
        <f t="shared" si="1"/>
        <v/>
      </c>
    </row>
    <row r="343" ht="15.75" customHeight="1">
      <c r="A343" s="10"/>
      <c r="B343" s="18" t="str">
        <f>IF(A343="","",IFERROR(VLOOKUP(A343,PROFESSORES!A:B,2,FALSE),""))</f>
        <v/>
      </c>
      <c r="C343" s="10"/>
      <c r="D343" s="19"/>
      <c r="E343" s="19"/>
      <c r="F343" s="10"/>
      <c r="G343" s="11" t="str">
        <f t="shared" si="1"/>
        <v/>
      </c>
    </row>
    <row r="344" ht="15.75" customHeight="1">
      <c r="A344" s="12"/>
      <c r="B344" s="20" t="str">
        <f>IF(A344="","",IFERROR(VLOOKUP(A344,PROFESSORES!A:B,2,FALSE),""))</f>
        <v/>
      </c>
      <c r="C344" s="12"/>
      <c r="D344" s="21"/>
      <c r="E344" s="21"/>
      <c r="F344" s="12"/>
      <c r="G344" s="13" t="str">
        <f t="shared" si="1"/>
        <v/>
      </c>
    </row>
    <row r="345" ht="15.75" customHeight="1">
      <c r="A345" s="10"/>
      <c r="B345" s="18" t="str">
        <f>IF(A345="","",IFERROR(VLOOKUP(A345,PROFESSORES!A:B,2,FALSE),""))</f>
        <v/>
      </c>
      <c r="C345" s="10"/>
      <c r="D345" s="19"/>
      <c r="E345" s="19"/>
      <c r="F345" s="10"/>
      <c r="G345" s="11" t="str">
        <f t="shared" si="1"/>
        <v/>
      </c>
    </row>
    <row r="346" ht="15.75" customHeight="1">
      <c r="A346" s="12"/>
      <c r="B346" s="20" t="str">
        <f>IF(A346="","",IFERROR(VLOOKUP(A346,PROFESSORES!A:B,2,FALSE),""))</f>
        <v/>
      </c>
      <c r="C346" s="12"/>
      <c r="D346" s="21"/>
      <c r="E346" s="21"/>
      <c r="F346" s="12"/>
      <c r="G346" s="13" t="str">
        <f t="shared" si="1"/>
        <v/>
      </c>
    </row>
    <row r="347" ht="15.75" customHeight="1">
      <c r="A347" s="10"/>
      <c r="B347" s="18" t="str">
        <f>IF(A347="","",IFERROR(VLOOKUP(A347,PROFESSORES!A:B,2,FALSE),""))</f>
        <v/>
      </c>
      <c r="C347" s="10"/>
      <c r="D347" s="19"/>
      <c r="E347" s="19"/>
      <c r="F347" s="10"/>
      <c r="G347" s="11" t="str">
        <f t="shared" si="1"/>
        <v/>
      </c>
    </row>
    <row r="348" ht="15.75" customHeight="1">
      <c r="A348" s="12"/>
      <c r="B348" s="20" t="str">
        <f>IF(A348="","",IFERROR(VLOOKUP(A348,PROFESSORES!A:B,2,FALSE),""))</f>
        <v/>
      </c>
      <c r="C348" s="12"/>
      <c r="D348" s="21"/>
      <c r="E348" s="21"/>
      <c r="F348" s="12"/>
      <c r="G348" s="13" t="str">
        <f t="shared" si="1"/>
        <v/>
      </c>
    </row>
    <row r="349" ht="15.75" customHeight="1">
      <c r="A349" s="10"/>
      <c r="B349" s="18" t="str">
        <f>IF(A349="","",IFERROR(VLOOKUP(A349,PROFESSORES!A:B,2,FALSE),""))</f>
        <v/>
      </c>
      <c r="C349" s="10"/>
      <c r="D349" s="19"/>
      <c r="E349" s="19"/>
      <c r="F349" s="10"/>
      <c r="G349" s="11" t="str">
        <f t="shared" si="1"/>
        <v/>
      </c>
    </row>
    <row r="350" ht="15.75" customHeight="1">
      <c r="A350" s="12"/>
      <c r="B350" s="20" t="str">
        <f>IF(A350="","",IFERROR(VLOOKUP(A350,PROFESSORES!A:B,2,FALSE),""))</f>
        <v/>
      </c>
      <c r="C350" s="12"/>
      <c r="D350" s="21"/>
      <c r="E350" s="21"/>
      <c r="F350" s="12"/>
      <c r="G350" s="13" t="str">
        <f t="shared" si="1"/>
        <v/>
      </c>
    </row>
    <row r="351" ht="15.75" customHeight="1">
      <c r="A351" s="10"/>
      <c r="B351" s="18" t="str">
        <f>IF(A351="","",IFERROR(VLOOKUP(A351,PROFESSORES!A:B,2,FALSE),""))</f>
        <v/>
      </c>
      <c r="C351" s="10"/>
      <c r="D351" s="19"/>
      <c r="E351" s="19"/>
      <c r="F351" s="10"/>
      <c r="G351" s="11" t="str">
        <f t="shared" si="1"/>
        <v/>
      </c>
    </row>
    <row r="352" ht="15.75" customHeight="1">
      <c r="A352" s="12"/>
      <c r="B352" s="20" t="str">
        <f>IF(A352="","",IFERROR(VLOOKUP(A352,PROFESSORES!A:B,2,FALSE),""))</f>
        <v/>
      </c>
      <c r="C352" s="12"/>
      <c r="D352" s="21"/>
      <c r="E352" s="21"/>
      <c r="F352" s="12"/>
      <c r="G352" s="13" t="str">
        <f t="shared" si="1"/>
        <v/>
      </c>
    </row>
    <row r="353" ht="15.75" customHeight="1">
      <c r="A353" s="10"/>
      <c r="B353" s="18" t="str">
        <f>IF(A353="","",IFERROR(VLOOKUP(A353,PROFESSORES!A:B,2,FALSE),""))</f>
        <v/>
      </c>
      <c r="C353" s="10"/>
      <c r="D353" s="19"/>
      <c r="E353" s="19"/>
      <c r="F353" s="10"/>
      <c r="G353" s="11" t="str">
        <f t="shared" si="1"/>
        <v/>
      </c>
    </row>
    <row r="354" ht="15.75" customHeight="1">
      <c r="A354" s="12"/>
      <c r="B354" s="20" t="str">
        <f>IF(A354="","",IFERROR(VLOOKUP(A354,PROFESSORES!A:B,2,FALSE),""))</f>
        <v/>
      </c>
      <c r="C354" s="12"/>
      <c r="D354" s="21"/>
      <c r="E354" s="21"/>
      <c r="F354" s="12"/>
      <c r="G354" s="13" t="str">
        <f t="shared" si="1"/>
        <v/>
      </c>
    </row>
    <row r="355" ht="15.75" customHeight="1">
      <c r="A355" s="10"/>
      <c r="B355" s="18" t="str">
        <f>IF(A355="","",IFERROR(VLOOKUP(A355,PROFESSORES!A:B,2,FALSE),""))</f>
        <v/>
      </c>
      <c r="C355" s="10"/>
      <c r="D355" s="19"/>
      <c r="E355" s="19"/>
      <c r="F355" s="10"/>
      <c r="G355" s="11" t="str">
        <f t="shared" si="1"/>
        <v/>
      </c>
    </row>
    <row r="356" ht="15.75" customHeight="1">
      <c r="A356" s="12"/>
      <c r="B356" s="20" t="str">
        <f>IF(A356="","",IFERROR(VLOOKUP(A356,PROFESSORES!A:B,2,FALSE),""))</f>
        <v/>
      </c>
      <c r="C356" s="12"/>
      <c r="D356" s="21"/>
      <c r="E356" s="21"/>
      <c r="F356" s="12"/>
      <c r="G356" s="13" t="str">
        <f t="shared" si="1"/>
        <v/>
      </c>
    </row>
    <row r="357" ht="15.75" customHeight="1">
      <c r="A357" s="10"/>
      <c r="B357" s="18" t="str">
        <f>IF(A357="","",IFERROR(VLOOKUP(A357,PROFESSORES!A:B,2,FALSE),""))</f>
        <v/>
      </c>
      <c r="C357" s="10"/>
      <c r="D357" s="19"/>
      <c r="E357" s="19"/>
      <c r="F357" s="10"/>
      <c r="G357" s="11" t="str">
        <f t="shared" si="1"/>
        <v/>
      </c>
    </row>
    <row r="358" ht="15.75" customHeight="1">
      <c r="A358" s="12"/>
      <c r="B358" s="20" t="str">
        <f>IF(A358="","",IFERROR(VLOOKUP(A358,PROFESSORES!A:B,2,FALSE),""))</f>
        <v/>
      </c>
      <c r="C358" s="12"/>
      <c r="D358" s="21"/>
      <c r="E358" s="21"/>
      <c r="F358" s="12"/>
      <c r="G358" s="13" t="str">
        <f t="shared" si="1"/>
        <v/>
      </c>
    </row>
    <row r="359" ht="15.75" customHeight="1">
      <c r="A359" s="10"/>
      <c r="B359" s="18" t="str">
        <f>IF(A359="","",IFERROR(VLOOKUP(A359,PROFESSORES!A:B,2,FALSE),""))</f>
        <v/>
      </c>
      <c r="C359" s="10"/>
      <c r="D359" s="19"/>
      <c r="E359" s="19"/>
      <c r="F359" s="10"/>
      <c r="G359" s="11" t="str">
        <f t="shared" si="1"/>
        <v/>
      </c>
    </row>
    <row r="360" ht="15.75" customHeight="1">
      <c r="A360" s="12"/>
      <c r="B360" s="20" t="str">
        <f>IF(A360="","",IFERROR(VLOOKUP(A360,PROFESSORES!A:B,2,FALSE),""))</f>
        <v/>
      </c>
      <c r="C360" s="12"/>
      <c r="D360" s="21"/>
      <c r="E360" s="21"/>
      <c r="F360" s="12"/>
      <c r="G360" s="13" t="str">
        <f t="shared" si="1"/>
        <v/>
      </c>
    </row>
    <row r="361" ht="15.75" customHeight="1">
      <c r="A361" s="10"/>
      <c r="B361" s="18" t="str">
        <f>IF(A361="","",IFERROR(VLOOKUP(A361,PROFESSORES!A:B,2,FALSE),""))</f>
        <v/>
      </c>
      <c r="C361" s="10"/>
      <c r="D361" s="19"/>
      <c r="E361" s="19"/>
      <c r="F361" s="10"/>
      <c r="G361" s="11" t="str">
        <f t="shared" si="1"/>
        <v/>
      </c>
    </row>
    <row r="362" ht="15.75" customHeight="1">
      <c r="A362" s="12"/>
      <c r="B362" s="20" t="str">
        <f>IF(A362="","",IFERROR(VLOOKUP(A362,PROFESSORES!A:B,2,FALSE),""))</f>
        <v/>
      </c>
      <c r="C362" s="12"/>
      <c r="D362" s="21"/>
      <c r="E362" s="21"/>
      <c r="F362" s="12"/>
      <c r="G362" s="13" t="str">
        <f t="shared" si="1"/>
        <v/>
      </c>
    </row>
    <row r="363" ht="15.75" customHeight="1">
      <c r="A363" s="10"/>
      <c r="B363" s="18" t="str">
        <f>IF(A363="","",IFERROR(VLOOKUP(A363,PROFESSORES!A:B,2,FALSE),""))</f>
        <v/>
      </c>
      <c r="C363" s="10"/>
      <c r="D363" s="19"/>
      <c r="E363" s="19"/>
      <c r="F363" s="10"/>
      <c r="G363" s="11" t="str">
        <f t="shared" si="1"/>
        <v/>
      </c>
    </row>
    <row r="364" ht="15.75" customHeight="1">
      <c r="A364" s="12"/>
      <c r="B364" s="20" t="str">
        <f>IF(A364="","",IFERROR(VLOOKUP(A364,PROFESSORES!A:B,2,FALSE),""))</f>
        <v/>
      </c>
      <c r="C364" s="12"/>
      <c r="D364" s="21"/>
      <c r="E364" s="21"/>
      <c r="F364" s="12"/>
      <c r="G364" s="13" t="str">
        <f t="shared" si="1"/>
        <v/>
      </c>
    </row>
    <row r="365" ht="15.75" customHeight="1">
      <c r="A365" s="10"/>
      <c r="B365" s="18" t="str">
        <f>IF(A365="","",IFERROR(VLOOKUP(A365,PROFESSORES!A:B,2,FALSE),""))</f>
        <v/>
      </c>
      <c r="C365" s="10"/>
      <c r="D365" s="19"/>
      <c r="E365" s="19"/>
      <c r="F365" s="10"/>
      <c r="G365" s="11" t="str">
        <f t="shared" si="1"/>
        <v/>
      </c>
    </row>
    <row r="366" ht="15.75" customHeight="1">
      <c r="A366" s="12"/>
      <c r="B366" s="20" t="str">
        <f>IF(A366="","",IFERROR(VLOOKUP(A366,PROFESSORES!A:B,2,FALSE),""))</f>
        <v/>
      </c>
      <c r="C366" s="12"/>
      <c r="D366" s="21"/>
      <c r="E366" s="21"/>
      <c r="F366" s="12"/>
      <c r="G366" s="13" t="str">
        <f t="shared" si="1"/>
        <v/>
      </c>
    </row>
    <row r="367" ht="15.75" customHeight="1">
      <c r="A367" s="10"/>
      <c r="B367" s="18" t="str">
        <f>IF(A367="","",IFERROR(VLOOKUP(A367,PROFESSORES!A:B,2,FALSE),""))</f>
        <v/>
      </c>
      <c r="C367" s="10"/>
      <c r="D367" s="19"/>
      <c r="E367" s="19"/>
      <c r="F367" s="10"/>
      <c r="G367" s="11" t="str">
        <f t="shared" si="1"/>
        <v/>
      </c>
    </row>
    <row r="368" ht="15.75" customHeight="1">
      <c r="A368" s="12"/>
      <c r="B368" s="20" t="str">
        <f>IF(A368="","",IFERROR(VLOOKUP(A368,PROFESSORES!A:B,2,FALSE),""))</f>
        <v/>
      </c>
      <c r="C368" s="12"/>
      <c r="D368" s="21"/>
      <c r="E368" s="21"/>
      <c r="F368" s="12"/>
      <c r="G368" s="13" t="str">
        <f t="shared" si="1"/>
        <v/>
      </c>
    </row>
    <row r="369" ht="15.75" customHeight="1">
      <c r="A369" s="10"/>
      <c r="B369" s="18" t="str">
        <f>IF(A369="","",IFERROR(VLOOKUP(A369,PROFESSORES!A:B,2,FALSE),""))</f>
        <v/>
      </c>
      <c r="C369" s="10"/>
      <c r="D369" s="19"/>
      <c r="E369" s="19"/>
      <c r="F369" s="10"/>
      <c r="G369" s="11" t="str">
        <f t="shared" si="1"/>
        <v/>
      </c>
    </row>
    <row r="370" ht="15.75" customHeight="1">
      <c r="A370" s="12"/>
      <c r="B370" s="20" t="str">
        <f>IF(A370="","",IFERROR(VLOOKUP(A370,PROFESSORES!A:B,2,FALSE),""))</f>
        <v/>
      </c>
      <c r="C370" s="12"/>
      <c r="D370" s="21"/>
      <c r="E370" s="21"/>
      <c r="F370" s="12"/>
      <c r="G370" s="13" t="str">
        <f t="shared" si="1"/>
        <v/>
      </c>
    </row>
    <row r="371" ht="15.75" customHeight="1">
      <c r="A371" s="10"/>
      <c r="B371" s="18" t="str">
        <f>IF(A371="","",IFERROR(VLOOKUP(A371,PROFESSORES!A:B,2,FALSE),""))</f>
        <v/>
      </c>
      <c r="C371" s="10"/>
      <c r="D371" s="19"/>
      <c r="E371" s="19"/>
      <c r="F371" s="10"/>
      <c r="G371" s="11" t="str">
        <f t="shared" si="1"/>
        <v/>
      </c>
    </row>
    <row r="372" ht="15.75" customHeight="1">
      <c r="A372" s="12"/>
      <c r="B372" s="20" t="str">
        <f>IF(A372="","",IFERROR(VLOOKUP(A372,PROFESSORES!A:B,2,FALSE),""))</f>
        <v/>
      </c>
      <c r="C372" s="12"/>
      <c r="D372" s="21"/>
      <c r="E372" s="21"/>
      <c r="F372" s="12"/>
      <c r="G372" s="13" t="str">
        <f t="shared" si="1"/>
        <v/>
      </c>
    </row>
    <row r="373" ht="15.75" customHeight="1">
      <c r="A373" s="10"/>
      <c r="B373" s="18" t="str">
        <f>IF(A373="","",IFERROR(VLOOKUP(A373,PROFESSORES!A:B,2,FALSE),""))</f>
        <v/>
      </c>
      <c r="C373" s="10"/>
      <c r="D373" s="19"/>
      <c r="E373" s="19"/>
      <c r="F373" s="10"/>
      <c r="G373" s="11" t="str">
        <f t="shared" si="1"/>
        <v/>
      </c>
    </row>
    <row r="374" ht="15.75" customHeight="1">
      <c r="A374" s="12"/>
      <c r="B374" s="20" t="str">
        <f>IF(A374="","",IFERROR(VLOOKUP(A374,PROFESSORES!A:B,2,FALSE),""))</f>
        <v/>
      </c>
      <c r="C374" s="12"/>
      <c r="D374" s="21"/>
      <c r="E374" s="21"/>
      <c r="F374" s="12"/>
      <c r="G374" s="13" t="str">
        <f t="shared" si="1"/>
        <v/>
      </c>
    </row>
    <row r="375" ht="15.75" customHeight="1">
      <c r="A375" s="10"/>
      <c r="B375" s="18" t="str">
        <f>IF(A375="","",IFERROR(VLOOKUP(A375,PROFESSORES!A:B,2,FALSE),""))</f>
        <v/>
      </c>
      <c r="C375" s="10"/>
      <c r="D375" s="19"/>
      <c r="E375" s="19"/>
      <c r="F375" s="10"/>
      <c r="G375" s="11" t="str">
        <f t="shared" si="1"/>
        <v/>
      </c>
    </row>
    <row r="376" ht="15.75" customHeight="1">
      <c r="A376" s="12"/>
      <c r="B376" s="20" t="str">
        <f>IF(A376="","",IFERROR(VLOOKUP(A376,PROFESSORES!A:B,2,FALSE),""))</f>
        <v/>
      </c>
      <c r="C376" s="12"/>
      <c r="D376" s="21"/>
      <c r="E376" s="21"/>
      <c r="F376" s="12"/>
      <c r="G376" s="13" t="str">
        <f t="shared" si="1"/>
        <v/>
      </c>
    </row>
    <row r="377" ht="15.75" customHeight="1">
      <c r="A377" s="10"/>
      <c r="B377" s="18" t="str">
        <f>IF(A377="","",IFERROR(VLOOKUP(A377,PROFESSORES!A:B,2,FALSE),""))</f>
        <v/>
      </c>
      <c r="C377" s="10"/>
      <c r="D377" s="19"/>
      <c r="E377" s="19"/>
      <c r="F377" s="10"/>
      <c r="G377" s="11" t="str">
        <f t="shared" si="1"/>
        <v/>
      </c>
    </row>
    <row r="378" ht="15.75" customHeight="1">
      <c r="A378" s="12"/>
      <c r="B378" s="20" t="str">
        <f>IF(A378="","",IFERROR(VLOOKUP(A378,PROFESSORES!A:B,2,FALSE),""))</f>
        <v/>
      </c>
      <c r="C378" s="12"/>
      <c r="D378" s="21"/>
      <c r="E378" s="21"/>
      <c r="F378" s="12"/>
      <c r="G378" s="13" t="str">
        <f t="shared" si="1"/>
        <v/>
      </c>
    </row>
    <row r="379" ht="15.75" customHeight="1">
      <c r="A379" s="10"/>
      <c r="B379" s="18" t="str">
        <f>IF(A379="","",IFERROR(VLOOKUP(A379,PROFESSORES!A:B,2,FALSE),""))</f>
        <v/>
      </c>
      <c r="C379" s="10"/>
      <c r="D379" s="19"/>
      <c r="E379" s="19"/>
      <c r="F379" s="10"/>
      <c r="G379" s="11" t="str">
        <f t="shared" si="1"/>
        <v/>
      </c>
    </row>
    <row r="380" ht="15.75" customHeight="1">
      <c r="A380" s="12"/>
      <c r="B380" s="20" t="str">
        <f>IF(A380="","",IFERROR(VLOOKUP(A380,PROFESSORES!A:B,2,FALSE),""))</f>
        <v/>
      </c>
      <c r="C380" s="12"/>
      <c r="D380" s="21"/>
      <c r="E380" s="21"/>
      <c r="F380" s="12"/>
      <c r="G380" s="13" t="str">
        <f t="shared" si="1"/>
        <v/>
      </c>
    </row>
    <row r="381" ht="15.75" customHeight="1">
      <c r="A381" s="10"/>
      <c r="B381" s="18" t="str">
        <f>IF(A381="","",IFERROR(VLOOKUP(A381,PROFESSORES!A:B,2,FALSE),""))</f>
        <v/>
      </c>
      <c r="C381" s="10"/>
      <c r="D381" s="19"/>
      <c r="E381" s="19"/>
      <c r="F381" s="10"/>
      <c r="G381" s="11" t="str">
        <f t="shared" si="1"/>
        <v/>
      </c>
    </row>
    <row r="382" ht="15.75" customHeight="1">
      <c r="A382" s="12"/>
      <c r="B382" s="20" t="str">
        <f>IF(A382="","",IFERROR(VLOOKUP(A382,PROFESSORES!A:B,2,FALSE),""))</f>
        <v/>
      </c>
      <c r="C382" s="12"/>
      <c r="D382" s="21"/>
      <c r="E382" s="21"/>
      <c r="F382" s="12"/>
      <c r="G382" s="13" t="str">
        <f t="shared" si="1"/>
        <v/>
      </c>
    </row>
    <row r="383" ht="15.75" customHeight="1">
      <c r="A383" s="10"/>
      <c r="B383" s="18" t="str">
        <f>IF(A383="","",IFERROR(VLOOKUP(A383,PROFESSORES!A:B,2,FALSE),""))</f>
        <v/>
      </c>
      <c r="C383" s="10"/>
      <c r="D383" s="19"/>
      <c r="E383" s="19"/>
      <c r="F383" s="10"/>
      <c r="G383" s="11" t="str">
        <f t="shared" si="1"/>
        <v/>
      </c>
    </row>
    <row r="384" ht="15.75" customHeight="1">
      <c r="A384" s="12"/>
      <c r="B384" s="20" t="str">
        <f>IF(A384="","",IFERROR(VLOOKUP(A384,PROFESSORES!A:B,2,FALSE),""))</f>
        <v/>
      </c>
      <c r="C384" s="12"/>
      <c r="D384" s="21"/>
      <c r="E384" s="21"/>
      <c r="F384" s="12"/>
      <c r="G384" s="13" t="str">
        <f t="shared" si="1"/>
        <v/>
      </c>
    </row>
    <row r="385" ht="15.75" customHeight="1">
      <c r="A385" s="10"/>
      <c r="B385" s="18" t="str">
        <f>IF(A385="","",IFERROR(VLOOKUP(A385,PROFESSORES!A:B,2,FALSE),""))</f>
        <v/>
      </c>
      <c r="C385" s="10"/>
      <c r="D385" s="19"/>
      <c r="E385" s="19"/>
      <c r="F385" s="10"/>
      <c r="G385" s="11" t="str">
        <f t="shared" si="1"/>
        <v/>
      </c>
    </row>
    <row r="386" ht="15.75" customHeight="1">
      <c r="A386" s="12"/>
      <c r="B386" s="20" t="str">
        <f>IF(A386="","",IFERROR(VLOOKUP(A386,PROFESSORES!A:B,2,FALSE),""))</f>
        <v/>
      </c>
      <c r="C386" s="12"/>
      <c r="D386" s="21"/>
      <c r="E386" s="21"/>
      <c r="F386" s="12"/>
      <c r="G386" s="13" t="str">
        <f t="shared" si="1"/>
        <v/>
      </c>
    </row>
    <row r="387" ht="15.75" customHeight="1">
      <c r="A387" s="10"/>
      <c r="B387" s="18" t="str">
        <f>IF(A387="","",IFERROR(VLOOKUP(A387,PROFESSORES!A:B,2,FALSE),""))</f>
        <v/>
      </c>
      <c r="C387" s="10"/>
      <c r="D387" s="19"/>
      <c r="E387" s="19"/>
      <c r="F387" s="10"/>
      <c r="G387" s="11" t="str">
        <f t="shared" si="1"/>
        <v/>
      </c>
    </row>
    <row r="388" ht="15.75" customHeight="1">
      <c r="A388" s="12"/>
      <c r="B388" s="20" t="str">
        <f>IF(A388="","",IFERROR(VLOOKUP(A388,PROFESSORES!A:B,2,FALSE),""))</f>
        <v/>
      </c>
      <c r="C388" s="12"/>
      <c r="D388" s="21"/>
      <c r="E388" s="21"/>
      <c r="F388" s="12"/>
      <c r="G388" s="13" t="str">
        <f t="shared" si="1"/>
        <v/>
      </c>
    </row>
    <row r="389" ht="15.75" customHeight="1">
      <c r="A389" s="10"/>
      <c r="B389" s="18" t="str">
        <f>IF(A389="","",IFERROR(VLOOKUP(A389,PROFESSORES!A:B,2,FALSE),""))</f>
        <v/>
      </c>
      <c r="C389" s="10"/>
      <c r="D389" s="19"/>
      <c r="E389" s="19"/>
      <c r="F389" s="10"/>
      <c r="G389" s="11" t="str">
        <f t="shared" si="1"/>
        <v/>
      </c>
    </row>
    <row r="390" ht="15.75" customHeight="1">
      <c r="A390" s="12"/>
      <c r="B390" s="20" t="str">
        <f>IF(A390="","",IFERROR(VLOOKUP(A390,PROFESSORES!A:B,2,FALSE),""))</f>
        <v/>
      </c>
      <c r="C390" s="12"/>
      <c r="D390" s="21"/>
      <c r="E390" s="21"/>
      <c r="F390" s="12"/>
      <c r="G390" s="13" t="str">
        <f t="shared" si="1"/>
        <v/>
      </c>
    </row>
    <row r="391" ht="15.75" customHeight="1">
      <c r="A391" s="10"/>
      <c r="B391" s="18" t="str">
        <f>IF(A391="","",IFERROR(VLOOKUP(A391,PROFESSORES!A:B,2,FALSE),""))</f>
        <v/>
      </c>
      <c r="C391" s="10"/>
      <c r="D391" s="19"/>
      <c r="E391" s="19"/>
      <c r="F391" s="10"/>
      <c r="G391" s="11" t="str">
        <f t="shared" si="1"/>
        <v/>
      </c>
    </row>
    <row r="392" ht="15.75" customHeight="1">
      <c r="A392" s="12"/>
      <c r="B392" s="20" t="str">
        <f>IF(A392="","",IFERROR(VLOOKUP(A392,PROFESSORES!A:B,2,FALSE),""))</f>
        <v/>
      </c>
      <c r="C392" s="12"/>
      <c r="D392" s="21"/>
      <c r="E392" s="21"/>
      <c r="F392" s="12"/>
      <c r="G392" s="13" t="str">
        <f t="shared" si="1"/>
        <v/>
      </c>
    </row>
    <row r="393" ht="15.75" customHeight="1">
      <c r="A393" s="10"/>
      <c r="B393" s="18" t="str">
        <f>IF(A393="","",IFERROR(VLOOKUP(A393,PROFESSORES!A:B,2,FALSE),""))</f>
        <v/>
      </c>
      <c r="C393" s="10"/>
      <c r="D393" s="19"/>
      <c r="E393" s="19"/>
      <c r="F393" s="10"/>
      <c r="G393" s="11" t="str">
        <f t="shared" si="1"/>
        <v/>
      </c>
    </row>
    <row r="394" ht="15.75" customHeight="1">
      <c r="A394" s="12"/>
      <c r="B394" s="20" t="str">
        <f>IF(A394="","",IFERROR(VLOOKUP(A394,PROFESSORES!A:B,2,FALSE),""))</f>
        <v/>
      </c>
      <c r="C394" s="12"/>
      <c r="D394" s="21"/>
      <c r="E394" s="21"/>
      <c r="F394" s="12"/>
      <c r="G394" s="13" t="str">
        <f t="shared" si="1"/>
        <v/>
      </c>
    </row>
    <row r="395" ht="15.75" customHeight="1">
      <c r="A395" s="10"/>
      <c r="B395" s="18" t="str">
        <f>IF(A395="","",IFERROR(VLOOKUP(A395,PROFESSORES!A:B,2,FALSE),""))</f>
        <v/>
      </c>
      <c r="C395" s="10"/>
      <c r="D395" s="19"/>
      <c r="E395" s="19"/>
      <c r="F395" s="10"/>
      <c r="G395" s="11" t="str">
        <f t="shared" si="1"/>
        <v/>
      </c>
    </row>
    <row r="396" ht="15.75" customHeight="1">
      <c r="A396" s="12"/>
      <c r="B396" s="20" t="str">
        <f>IF(A396="","",IFERROR(VLOOKUP(A396,PROFESSORES!A:B,2,FALSE),""))</f>
        <v/>
      </c>
      <c r="C396" s="12"/>
      <c r="D396" s="21"/>
      <c r="E396" s="21"/>
      <c r="F396" s="12"/>
      <c r="G396" s="13" t="str">
        <f t="shared" si="1"/>
        <v/>
      </c>
    </row>
    <row r="397" ht="15.75" customHeight="1">
      <c r="A397" s="10"/>
      <c r="B397" s="18" t="str">
        <f>IF(A397="","",IFERROR(VLOOKUP(A397,PROFESSORES!A:B,2,FALSE),""))</f>
        <v/>
      </c>
      <c r="C397" s="10"/>
      <c r="D397" s="19"/>
      <c r="E397" s="19"/>
      <c r="F397" s="10"/>
      <c r="G397" s="11" t="str">
        <f t="shared" si="1"/>
        <v/>
      </c>
    </row>
    <row r="398" ht="15.75" customHeight="1">
      <c r="A398" s="12"/>
      <c r="B398" s="20" t="str">
        <f>IF(A398="","",IFERROR(VLOOKUP(A398,PROFESSORES!A:B,2,FALSE),""))</f>
        <v/>
      </c>
      <c r="C398" s="12"/>
      <c r="D398" s="21"/>
      <c r="E398" s="21"/>
      <c r="F398" s="12"/>
      <c r="G398" s="13" t="str">
        <f t="shared" si="1"/>
        <v/>
      </c>
    </row>
    <row r="399" ht="15.75" customHeight="1">
      <c r="A399" s="10"/>
      <c r="B399" s="18" t="str">
        <f>IF(A399="","",IFERROR(VLOOKUP(A399,PROFESSORES!A:B,2,FALSE),""))</f>
        <v/>
      </c>
      <c r="C399" s="10"/>
      <c r="D399" s="19"/>
      <c r="E399" s="19"/>
      <c r="F399" s="10"/>
      <c r="G399" s="11" t="str">
        <f t="shared" si="1"/>
        <v/>
      </c>
    </row>
    <row r="400" ht="15.75" customHeight="1">
      <c r="A400" s="12"/>
      <c r="B400" s="20" t="str">
        <f>IF(A400="","",IFERROR(VLOOKUP(A400,PROFESSORES!A:B,2,FALSE),""))</f>
        <v/>
      </c>
      <c r="C400" s="12"/>
      <c r="D400" s="21"/>
      <c r="E400" s="21"/>
      <c r="F400" s="12"/>
      <c r="G400" s="13" t="str">
        <f t="shared" si="1"/>
        <v/>
      </c>
    </row>
    <row r="401" ht="15.75" customHeight="1">
      <c r="A401" s="10"/>
      <c r="B401" s="18" t="str">
        <f>IF(A401="","",IFERROR(VLOOKUP(A401,PROFESSORES!A:B,2,FALSE),""))</f>
        <v/>
      </c>
      <c r="C401" s="10"/>
      <c r="D401" s="19"/>
      <c r="E401" s="19"/>
      <c r="F401" s="10"/>
      <c r="G401" s="11" t="str">
        <f t="shared" si="1"/>
        <v/>
      </c>
    </row>
    <row r="402" ht="15.75" customHeight="1">
      <c r="A402" s="12"/>
      <c r="B402" s="20" t="str">
        <f>IF(A402="","",IFERROR(VLOOKUP(A402,PROFESSORES!A:B,2,FALSE),""))</f>
        <v/>
      </c>
      <c r="C402" s="12"/>
      <c r="D402" s="21"/>
      <c r="E402" s="21"/>
      <c r="F402" s="12"/>
      <c r="G402" s="13" t="str">
        <f t="shared" si="1"/>
        <v/>
      </c>
    </row>
    <row r="403" ht="15.75" customHeight="1">
      <c r="A403" s="10"/>
      <c r="B403" s="18" t="str">
        <f>IF(A403="","",IFERROR(VLOOKUP(A403,PROFESSORES!A:B,2,FALSE),""))</f>
        <v/>
      </c>
      <c r="C403" s="10"/>
      <c r="D403" s="19"/>
      <c r="E403" s="19"/>
      <c r="F403" s="10"/>
      <c r="G403" s="11" t="str">
        <f t="shared" si="1"/>
        <v/>
      </c>
    </row>
    <row r="404" ht="15.75" customHeight="1">
      <c r="A404" s="12"/>
      <c r="B404" s="20" t="str">
        <f>IF(A404="","",IFERROR(VLOOKUP(A404,PROFESSORES!A:B,2,FALSE),""))</f>
        <v/>
      </c>
      <c r="C404" s="12"/>
      <c r="D404" s="21"/>
      <c r="E404" s="21"/>
      <c r="F404" s="12"/>
      <c r="G404" s="13" t="str">
        <f t="shared" si="1"/>
        <v/>
      </c>
    </row>
    <row r="405" ht="15.75" customHeight="1">
      <c r="A405" s="10"/>
      <c r="B405" s="18" t="str">
        <f>IF(A405="","",IFERROR(VLOOKUP(A405,PROFESSORES!A:B,2,FALSE),""))</f>
        <v/>
      </c>
      <c r="C405" s="10"/>
      <c r="D405" s="19"/>
      <c r="E405" s="19"/>
      <c r="F405" s="10"/>
      <c r="G405" s="11" t="str">
        <f t="shared" si="1"/>
        <v/>
      </c>
    </row>
    <row r="406" ht="15.75" customHeight="1">
      <c r="A406" s="12"/>
      <c r="B406" s="20" t="str">
        <f>IF(A406="","",IFERROR(VLOOKUP(A406,PROFESSORES!A:B,2,FALSE),""))</f>
        <v/>
      </c>
      <c r="C406" s="12"/>
      <c r="D406" s="21"/>
      <c r="E406" s="21"/>
      <c r="F406" s="12"/>
      <c r="G406" s="13" t="str">
        <f t="shared" si="1"/>
        <v/>
      </c>
    </row>
    <row r="407" ht="15.75" customHeight="1">
      <c r="A407" s="10"/>
      <c r="B407" s="18" t="str">
        <f>IF(A407="","",IFERROR(VLOOKUP(A407,PROFESSORES!A:B,2,FALSE),""))</f>
        <v/>
      </c>
      <c r="C407" s="10"/>
      <c r="D407" s="19"/>
      <c r="E407" s="19"/>
      <c r="F407" s="10"/>
      <c r="G407" s="11" t="str">
        <f t="shared" si="1"/>
        <v/>
      </c>
    </row>
    <row r="408" ht="15.75" customHeight="1">
      <c r="A408" s="12"/>
      <c r="B408" s="20" t="str">
        <f>IF(A408="","",IFERROR(VLOOKUP(A408,PROFESSORES!A:B,2,FALSE),""))</f>
        <v/>
      </c>
      <c r="C408" s="12"/>
      <c r="D408" s="21"/>
      <c r="E408" s="21"/>
      <c r="F408" s="12"/>
      <c r="G408" s="13" t="str">
        <f t="shared" si="1"/>
        <v/>
      </c>
    </row>
    <row r="409" ht="15.75" customHeight="1">
      <c r="A409" s="10"/>
      <c r="B409" s="18" t="str">
        <f>IF(A409="","",IFERROR(VLOOKUP(A409,PROFESSORES!A:B,2,FALSE),""))</f>
        <v/>
      </c>
      <c r="C409" s="10"/>
      <c r="D409" s="19"/>
      <c r="E409" s="19"/>
      <c r="F409" s="10"/>
      <c r="G409" s="11" t="str">
        <f t="shared" si="1"/>
        <v/>
      </c>
    </row>
    <row r="410" ht="15.75" customHeight="1">
      <c r="A410" s="12"/>
      <c r="B410" s="20" t="str">
        <f>IF(A410="","",IFERROR(VLOOKUP(A410,PROFESSORES!A:B,2,FALSE),""))</f>
        <v/>
      </c>
      <c r="C410" s="12"/>
      <c r="D410" s="21"/>
      <c r="E410" s="21"/>
      <c r="F410" s="12"/>
      <c r="G410" s="13" t="str">
        <f t="shared" si="1"/>
        <v/>
      </c>
    </row>
    <row r="411" ht="15.75" customHeight="1">
      <c r="A411" s="10"/>
      <c r="B411" s="18" t="str">
        <f>IF(A411="","",IFERROR(VLOOKUP(A411,PROFESSORES!A:B,2,FALSE),""))</f>
        <v/>
      </c>
      <c r="C411" s="10"/>
      <c r="D411" s="19"/>
      <c r="E411" s="19"/>
      <c r="F411" s="10"/>
      <c r="G411" s="11" t="str">
        <f t="shared" si="1"/>
        <v/>
      </c>
    </row>
    <row r="412" ht="15.75" customHeight="1">
      <c r="A412" s="12"/>
      <c r="B412" s="20" t="str">
        <f>IF(A412="","",IFERROR(VLOOKUP(A412,PROFESSORES!A:B,2,FALSE),""))</f>
        <v/>
      </c>
      <c r="C412" s="12"/>
      <c r="D412" s="21"/>
      <c r="E412" s="21"/>
      <c r="F412" s="12"/>
      <c r="G412" s="13" t="str">
        <f t="shared" si="1"/>
        <v/>
      </c>
    </row>
    <row r="413" ht="15.75" customHeight="1">
      <c r="A413" s="10"/>
      <c r="B413" s="18" t="str">
        <f>IF(A413="","",IFERROR(VLOOKUP(A413,PROFESSORES!A:B,2,FALSE),""))</f>
        <v/>
      </c>
      <c r="C413" s="10"/>
      <c r="D413" s="19"/>
      <c r="E413" s="19"/>
      <c r="F413" s="10"/>
      <c r="G413" s="11" t="str">
        <f t="shared" si="1"/>
        <v/>
      </c>
    </row>
    <row r="414" ht="15.75" customHeight="1">
      <c r="A414" s="12"/>
      <c r="B414" s="20" t="str">
        <f>IF(A414="","",IFERROR(VLOOKUP(A414,PROFESSORES!A:B,2,FALSE),""))</f>
        <v/>
      </c>
      <c r="C414" s="12"/>
      <c r="D414" s="21"/>
      <c r="E414" s="21"/>
      <c r="F414" s="12"/>
      <c r="G414" s="13" t="str">
        <f t="shared" si="1"/>
        <v/>
      </c>
    </row>
    <row r="415" ht="15.75" customHeight="1">
      <c r="A415" s="10"/>
      <c r="B415" s="18" t="str">
        <f>IF(A415="","",IFERROR(VLOOKUP(A415,PROFESSORES!A:B,2,FALSE),""))</f>
        <v/>
      </c>
      <c r="C415" s="10"/>
      <c r="D415" s="19"/>
      <c r="E415" s="19"/>
      <c r="F415" s="10"/>
      <c r="G415" s="11" t="str">
        <f t="shared" si="1"/>
        <v/>
      </c>
    </row>
    <row r="416" ht="15.75" customHeight="1">
      <c r="A416" s="12"/>
      <c r="B416" s="20" t="str">
        <f>IF(A416="","",IFERROR(VLOOKUP(A416,PROFESSORES!A:B,2,FALSE),""))</f>
        <v/>
      </c>
      <c r="C416" s="12"/>
      <c r="D416" s="21"/>
      <c r="E416" s="21"/>
      <c r="F416" s="12"/>
      <c r="G416" s="13" t="str">
        <f t="shared" si="1"/>
        <v/>
      </c>
    </row>
    <row r="417" ht="15.75" customHeight="1">
      <c r="A417" s="10"/>
      <c r="B417" s="18" t="str">
        <f>IF(A417="","",IFERROR(VLOOKUP(A417,PROFESSORES!A:B,2,FALSE),""))</f>
        <v/>
      </c>
      <c r="C417" s="10"/>
      <c r="D417" s="19"/>
      <c r="E417" s="19"/>
      <c r="F417" s="10"/>
      <c r="G417" s="11" t="str">
        <f t="shared" si="1"/>
        <v/>
      </c>
    </row>
    <row r="418" ht="15.75" customHeight="1">
      <c r="A418" s="12"/>
      <c r="B418" s="20" t="str">
        <f>IF(A418="","",IFERROR(VLOOKUP(A418,PROFESSORES!A:B,2,FALSE),""))</f>
        <v/>
      </c>
      <c r="C418" s="12"/>
      <c r="D418" s="21"/>
      <c r="E418" s="21"/>
      <c r="F418" s="12"/>
      <c r="G418" s="13" t="str">
        <f t="shared" si="1"/>
        <v/>
      </c>
    </row>
    <row r="419" ht="15.75" customHeight="1">
      <c r="A419" s="10"/>
      <c r="B419" s="18" t="str">
        <f>IF(A419="","",IFERROR(VLOOKUP(A419,PROFESSORES!A:B,2,FALSE),""))</f>
        <v/>
      </c>
      <c r="C419" s="10"/>
      <c r="D419" s="19"/>
      <c r="E419" s="19"/>
      <c r="F419" s="10"/>
      <c r="G419" s="11" t="str">
        <f t="shared" si="1"/>
        <v/>
      </c>
    </row>
    <row r="420" ht="15.75" customHeight="1">
      <c r="A420" s="12"/>
      <c r="B420" s="20" t="str">
        <f>IF(A420="","",IFERROR(VLOOKUP(A420,PROFESSORES!A:B,2,FALSE),""))</f>
        <v/>
      </c>
      <c r="C420" s="12"/>
      <c r="D420" s="21"/>
      <c r="E420" s="21"/>
      <c r="F420" s="12"/>
      <c r="G420" s="13" t="str">
        <f t="shared" si="1"/>
        <v/>
      </c>
    </row>
    <row r="421" ht="15.75" customHeight="1">
      <c r="A421" s="10"/>
      <c r="B421" s="18" t="str">
        <f>IF(A421="","",IFERROR(VLOOKUP(A421,PROFESSORES!A:B,2,FALSE),""))</f>
        <v/>
      </c>
      <c r="C421" s="10"/>
      <c r="D421" s="19"/>
      <c r="E421" s="19"/>
      <c r="F421" s="10"/>
      <c r="G421" s="11" t="str">
        <f t="shared" si="1"/>
        <v/>
      </c>
    </row>
    <row r="422" ht="15.75" customHeight="1">
      <c r="A422" s="12"/>
      <c r="B422" s="20" t="str">
        <f>IF(A422="","",IFERROR(VLOOKUP(A422,PROFESSORES!A:B,2,FALSE),""))</f>
        <v/>
      </c>
      <c r="C422" s="12"/>
      <c r="D422" s="21"/>
      <c r="E422" s="21"/>
      <c r="F422" s="12"/>
      <c r="G422" s="13" t="str">
        <f t="shared" si="1"/>
        <v/>
      </c>
    </row>
    <row r="423" ht="15.75" customHeight="1">
      <c r="A423" s="10"/>
      <c r="B423" s="18" t="str">
        <f>IF(A423="","",IFERROR(VLOOKUP(A423,PROFESSORES!A:B,2,FALSE),""))</f>
        <v/>
      </c>
      <c r="C423" s="10"/>
      <c r="D423" s="19"/>
      <c r="E423" s="19"/>
      <c r="F423" s="10"/>
      <c r="G423" s="11" t="str">
        <f t="shared" si="1"/>
        <v/>
      </c>
    </row>
    <row r="424" ht="15.75" customHeight="1">
      <c r="A424" s="12"/>
      <c r="B424" s="20" t="str">
        <f>IF(A424="","",IFERROR(VLOOKUP(A424,PROFESSORES!A:B,2,FALSE),""))</f>
        <v/>
      </c>
      <c r="C424" s="12"/>
      <c r="D424" s="21"/>
      <c r="E424" s="21"/>
      <c r="F424" s="12"/>
      <c r="G424" s="13" t="str">
        <f t="shared" si="1"/>
        <v/>
      </c>
    </row>
    <row r="425" ht="15.75" customHeight="1">
      <c r="A425" s="10"/>
      <c r="B425" s="18" t="str">
        <f>IF(A425="","",IFERROR(VLOOKUP(A425,PROFESSORES!A:B,2,FALSE),""))</f>
        <v/>
      </c>
      <c r="C425" s="10"/>
      <c r="D425" s="19"/>
      <c r="E425" s="19"/>
      <c r="F425" s="10"/>
      <c r="G425" s="11" t="str">
        <f t="shared" si="1"/>
        <v/>
      </c>
    </row>
    <row r="426" ht="15.75" customHeight="1">
      <c r="A426" s="12"/>
      <c r="B426" s="20" t="str">
        <f>IF(A426="","",IFERROR(VLOOKUP(A426,PROFESSORES!A:B,2,FALSE),""))</f>
        <v/>
      </c>
      <c r="C426" s="12"/>
      <c r="D426" s="21"/>
      <c r="E426" s="21"/>
      <c r="F426" s="12"/>
      <c r="G426" s="13" t="str">
        <f t="shared" si="1"/>
        <v/>
      </c>
    </row>
    <row r="427" ht="15.75" customHeight="1">
      <c r="A427" s="10"/>
      <c r="B427" s="18" t="str">
        <f>IF(A427="","",IFERROR(VLOOKUP(A427,PROFESSORES!A:B,2,FALSE),""))</f>
        <v/>
      </c>
      <c r="C427" s="10"/>
      <c r="D427" s="19"/>
      <c r="E427" s="19"/>
      <c r="F427" s="10"/>
      <c r="G427" s="11" t="str">
        <f t="shared" si="1"/>
        <v/>
      </c>
    </row>
    <row r="428" ht="15.75" customHeight="1">
      <c r="A428" s="12"/>
      <c r="B428" s="20" t="str">
        <f>IF(A428="","",IFERROR(VLOOKUP(A428,PROFESSORES!A:B,2,FALSE),""))</f>
        <v/>
      </c>
      <c r="C428" s="12"/>
      <c r="D428" s="21"/>
      <c r="E428" s="21"/>
      <c r="F428" s="12"/>
      <c r="G428" s="13" t="str">
        <f t="shared" si="1"/>
        <v/>
      </c>
    </row>
    <row r="429" ht="15.75" customHeight="1">
      <c r="A429" s="10"/>
      <c r="B429" s="18" t="str">
        <f>IF(A429="","",IFERROR(VLOOKUP(A429,PROFESSORES!A:B,2,FALSE),""))</f>
        <v/>
      </c>
      <c r="C429" s="10"/>
      <c r="D429" s="19"/>
      <c r="E429" s="19"/>
      <c r="F429" s="10"/>
      <c r="G429" s="11" t="str">
        <f t="shared" si="1"/>
        <v/>
      </c>
    </row>
    <row r="430" ht="15.75" customHeight="1">
      <c r="A430" s="12"/>
      <c r="B430" s="20" t="str">
        <f>IF(A430="","",IFERROR(VLOOKUP(A430,PROFESSORES!A:B,2,FALSE),""))</f>
        <v/>
      </c>
      <c r="C430" s="12"/>
      <c r="D430" s="21"/>
      <c r="E430" s="21"/>
      <c r="F430" s="12"/>
      <c r="G430" s="13" t="str">
        <f t="shared" si="1"/>
        <v/>
      </c>
    </row>
    <row r="431" ht="15.75" customHeight="1">
      <c r="A431" s="10"/>
      <c r="B431" s="18" t="str">
        <f>IF(A431="","",IFERROR(VLOOKUP(A431,PROFESSORES!A:B,2,FALSE),""))</f>
        <v/>
      </c>
      <c r="C431" s="10"/>
      <c r="D431" s="19"/>
      <c r="E431" s="19"/>
      <c r="F431" s="10"/>
      <c r="G431" s="11" t="str">
        <f t="shared" si="1"/>
        <v/>
      </c>
    </row>
    <row r="432" ht="15.75" customHeight="1">
      <c r="A432" s="12"/>
      <c r="B432" s="20" t="str">
        <f>IF(A432="","",IFERROR(VLOOKUP(A432,PROFESSORES!A:B,2,FALSE),""))</f>
        <v/>
      </c>
      <c r="C432" s="12"/>
      <c r="D432" s="21"/>
      <c r="E432" s="21"/>
      <c r="F432" s="12"/>
      <c r="G432" s="13" t="str">
        <f t="shared" si="1"/>
        <v/>
      </c>
    </row>
    <row r="433" ht="15.75" customHeight="1">
      <c r="A433" s="10"/>
      <c r="B433" s="18" t="str">
        <f>IF(A433="","",IFERROR(VLOOKUP(A433,PROFESSORES!A:B,2,FALSE),""))</f>
        <v/>
      </c>
      <c r="C433" s="10"/>
      <c r="D433" s="19"/>
      <c r="E433" s="19"/>
      <c r="F433" s="10"/>
      <c r="G433" s="11" t="str">
        <f t="shared" si="1"/>
        <v/>
      </c>
    </row>
    <row r="434" ht="15.75" customHeight="1">
      <c r="A434" s="12"/>
      <c r="B434" s="20" t="str">
        <f>IF(A434="","",IFERROR(VLOOKUP(A434,PROFESSORES!A:B,2,FALSE),""))</f>
        <v/>
      </c>
      <c r="C434" s="12"/>
      <c r="D434" s="21"/>
      <c r="E434" s="21"/>
      <c r="F434" s="12"/>
      <c r="G434" s="13" t="str">
        <f t="shared" si="1"/>
        <v/>
      </c>
    </row>
    <row r="435" ht="15.75" customHeight="1">
      <c r="A435" s="10"/>
      <c r="B435" s="18" t="str">
        <f>IF(A435="","",IFERROR(VLOOKUP(A435,PROFESSORES!A:B,2,FALSE),""))</f>
        <v/>
      </c>
      <c r="C435" s="10"/>
      <c r="D435" s="19"/>
      <c r="E435" s="19"/>
      <c r="F435" s="10"/>
      <c r="G435" s="11" t="str">
        <f t="shared" si="1"/>
        <v/>
      </c>
    </row>
    <row r="436" ht="15.75" customHeight="1">
      <c r="A436" s="12"/>
      <c r="B436" s="20" t="str">
        <f>IF(A436="","",IFERROR(VLOOKUP(A436,PROFESSORES!A:B,2,FALSE),""))</f>
        <v/>
      </c>
      <c r="C436" s="12"/>
      <c r="D436" s="21"/>
      <c r="E436" s="21"/>
      <c r="F436" s="12"/>
      <c r="G436" s="13" t="str">
        <f t="shared" si="1"/>
        <v/>
      </c>
    </row>
    <row r="437" ht="15.75" customHeight="1">
      <c r="A437" s="10"/>
      <c r="B437" s="18" t="str">
        <f>IF(A437="","",IFERROR(VLOOKUP(A437,PROFESSORES!A:B,2,FALSE),""))</f>
        <v/>
      </c>
      <c r="C437" s="10"/>
      <c r="D437" s="19"/>
      <c r="E437" s="19"/>
      <c r="F437" s="10"/>
      <c r="G437" s="11" t="str">
        <f t="shared" si="1"/>
        <v/>
      </c>
    </row>
    <row r="438" ht="15.75" customHeight="1">
      <c r="A438" s="12"/>
      <c r="B438" s="20" t="str">
        <f>IF(A438="","",IFERROR(VLOOKUP(A438,PROFESSORES!A:B,2,FALSE),""))</f>
        <v/>
      </c>
      <c r="C438" s="12"/>
      <c r="D438" s="21"/>
      <c r="E438" s="21"/>
      <c r="F438" s="12"/>
      <c r="G438" s="13" t="str">
        <f t="shared" si="1"/>
        <v/>
      </c>
    </row>
    <row r="439" ht="15.75" customHeight="1">
      <c r="A439" s="10"/>
      <c r="B439" s="18" t="str">
        <f>IF(A439="","",IFERROR(VLOOKUP(A439,PROFESSORES!A:B,2,FALSE),""))</f>
        <v/>
      </c>
      <c r="C439" s="10"/>
      <c r="D439" s="19"/>
      <c r="E439" s="19"/>
      <c r="F439" s="10"/>
      <c r="G439" s="11" t="str">
        <f t="shared" si="1"/>
        <v/>
      </c>
    </row>
    <row r="440" ht="15.75" customHeight="1">
      <c r="A440" s="12"/>
      <c r="B440" s="20" t="str">
        <f>IF(A440="","",IFERROR(VLOOKUP(A440,PROFESSORES!A:B,2,FALSE),""))</f>
        <v/>
      </c>
      <c r="C440" s="12"/>
      <c r="D440" s="21"/>
      <c r="E440" s="21"/>
      <c r="F440" s="12"/>
      <c r="G440" s="13" t="str">
        <f t="shared" si="1"/>
        <v/>
      </c>
    </row>
    <row r="441" ht="15.75" customHeight="1">
      <c r="A441" s="10"/>
      <c r="B441" s="18" t="str">
        <f>IF(A441="","",IFERROR(VLOOKUP(A441,PROFESSORES!A:B,2,FALSE),""))</f>
        <v/>
      </c>
      <c r="C441" s="10"/>
      <c r="D441" s="19"/>
      <c r="E441" s="19"/>
      <c r="F441" s="10"/>
      <c r="G441" s="11" t="str">
        <f t="shared" si="1"/>
        <v/>
      </c>
    </row>
    <row r="442" ht="15.75" customHeight="1">
      <c r="A442" s="12"/>
      <c r="B442" s="20" t="str">
        <f>IF(A442="","",IFERROR(VLOOKUP(A442,PROFESSORES!A:B,2,FALSE),""))</f>
        <v/>
      </c>
      <c r="C442" s="12"/>
      <c r="D442" s="21"/>
      <c r="E442" s="21"/>
      <c r="F442" s="12"/>
      <c r="G442" s="13" t="str">
        <f t="shared" si="1"/>
        <v/>
      </c>
    </row>
    <row r="443" ht="15.75" customHeight="1">
      <c r="A443" s="10"/>
      <c r="B443" s="18" t="str">
        <f>IF(A443="","",IFERROR(VLOOKUP(A443,PROFESSORES!A:B,2,FALSE),""))</f>
        <v/>
      </c>
      <c r="C443" s="10"/>
      <c r="D443" s="19"/>
      <c r="E443" s="19"/>
      <c r="F443" s="10"/>
      <c r="G443" s="11" t="str">
        <f t="shared" si="1"/>
        <v/>
      </c>
    </row>
    <row r="444" ht="15.75" customHeight="1">
      <c r="A444" s="12"/>
      <c r="B444" s="20" t="str">
        <f>IF(A444="","",IFERROR(VLOOKUP(A444,PROFESSORES!A:B,2,FALSE),""))</f>
        <v/>
      </c>
      <c r="C444" s="12"/>
      <c r="D444" s="21"/>
      <c r="E444" s="21"/>
      <c r="F444" s="12"/>
      <c r="G444" s="13" t="str">
        <f t="shared" si="1"/>
        <v/>
      </c>
    </row>
    <row r="445" ht="15.75" customHeight="1">
      <c r="A445" s="10"/>
      <c r="B445" s="18" t="str">
        <f>IF(A445="","",IFERROR(VLOOKUP(A445,PROFESSORES!A:B,2,FALSE),""))</f>
        <v/>
      </c>
      <c r="C445" s="10"/>
      <c r="D445" s="19"/>
      <c r="E445" s="19"/>
      <c r="F445" s="10"/>
      <c r="G445" s="11" t="str">
        <f t="shared" si="1"/>
        <v/>
      </c>
    </row>
    <row r="446" ht="15.75" customHeight="1">
      <c r="A446" s="12"/>
      <c r="B446" s="20" t="str">
        <f>IF(A446="","",IFERROR(VLOOKUP(A446,PROFESSORES!A:B,2,FALSE),""))</f>
        <v/>
      </c>
      <c r="C446" s="12"/>
      <c r="D446" s="21"/>
      <c r="E446" s="21"/>
      <c r="F446" s="12"/>
      <c r="G446" s="13" t="str">
        <f t="shared" si="1"/>
        <v/>
      </c>
    </row>
    <row r="447" ht="15.75" customHeight="1">
      <c r="A447" s="10"/>
      <c r="B447" s="18" t="str">
        <f>IF(A447="","",IFERROR(VLOOKUP(A447,PROFESSORES!A:B,2,FALSE),""))</f>
        <v/>
      </c>
      <c r="C447" s="10"/>
      <c r="D447" s="19"/>
      <c r="E447" s="19"/>
      <c r="F447" s="10"/>
      <c r="G447" s="11" t="str">
        <f t="shared" si="1"/>
        <v/>
      </c>
    </row>
    <row r="448" ht="15.75" customHeight="1">
      <c r="A448" s="12"/>
      <c r="B448" s="20" t="str">
        <f>IF(A448="","",IFERROR(VLOOKUP(A448,PROFESSORES!A:B,2,FALSE),""))</f>
        <v/>
      </c>
      <c r="C448" s="12"/>
      <c r="D448" s="21"/>
      <c r="E448" s="21"/>
      <c r="F448" s="12"/>
      <c r="G448" s="13" t="str">
        <f t="shared" si="1"/>
        <v/>
      </c>
    </row>
    <row r="449" ht="15.75" customHeight="1">
      <c r="A449" s="10"/>
      <c r="B449" s="18" t="str">
        <f>IF(A449="","",IFERROR(VLOOKUP(A449,PROFESSORES!A:B,2,FALSE),""))</f>
        <v/>
      </c>
      <c r="C449" s="10"/>
      <c r="D449" s="19"/>
      <c r="E449" s="19"/>
      <c r="F449" s="10"/>
      <c r="G449" s="11" t="str">
        <f t="shared" si="1"/>
        <v/>
      </c>
    </row>
    <row r="450" ht="15.75" customHeight="1">
      <c r="A450" s="12"/>
      <c r="B450" s="20" t="str">
        <f>IF(A450="","",IFERROR(VLOOKUP(A450,PROFESSORES!A:B,2,FALSE),""))</f>
        <v/>
      </c>
      <c r="C450" s="12"/>
      <c r="D450" s="21"/>
      <c r="E450" s="21"/>
      <c r="F450" s="12"/>
      <c r="G450" s="13" t="str">
        <f t="shared" si="1"/>
        <v/>
      </c>
    </row>
    <row r="451" ht="15.75" customHeight="1">
      <c r="A451" s="10"/>
      <c r="B451" s="18" t="str">
        <f>IF(A451="","",IFERROR(VLOOKUP(A451,PROFESSORES!A:B,2,FALSE),""))</f>
        <v/>
      </c>
      <c r="C451" s="10"/>
      <c r="D451" s="19"/>
      <c r="E451" s="19"/>
      <c r="F451" s="10"/>
      <c r="G451" s="11" t="str">
        <f t="shared" si="1"/>
        <v/>
      </c>
    </row>
    <row r="452" ht="15.75" customHeight="1">
      <c r="A452" s="12"/>
      <c r="B452" s="20" t="str">
        <f>IF(A452="","",IFERROR(VLOOKUP(A452,PROFESSORES!A:B,2,FALSE),""))</f>
        <v/>
      </c>
      <c r="C452" s="12"/>
      <c r="D452" s="21"/>
      <c r="E452" s="21"/>
      <c r="F452" s="12"/>
      <c r="G452" s="13" t="str">
        <f t="shared" si="1"/>
        <v/>
      </c>
    </row>
    <row r="453" ht="15.75" customHeight="1">
      <c r="A453" s="10"/>
      <c r="B453" s="18" t="str">
        <f>IF(A453="","",IFERROR(VLOOKUP(A453,PROFESSORES!A:B,2,FALSE),""))</f>
        <v/>
      </c>
      <c r="C453" s="10"/>
      <c r="D453" s="19"/>
      <c r="E453" s="19"/>
      <c r="F453" s="10"/>
      <c r="G453" s="11" t="str">
        <f t="shared" si="1"/>
        <v/>
      </c>
    </row>
    <row r="454" ht="15.75" customHeight="1">
      <c r="A454" s="12"/>
      <c r="B454" s="20" t="str">
        <f>IF(A454="","",IFERROR(VLOOKUP(A454,PROFESSORES!A:B,2,FALSE),""))</f>
        <v/>
      </c>
      <c r="C454" s="12"/>
      <c r="D454" s="21"/>
      <c r="E454" s="21"/>
      <c r="F454" s="12"/>
      <c r="G454" s="13" t="str">
        <f t="shared" si="1"/>
        <v/>
      </c>
    </row>
    <row r="455" ht="15.75" customHeight="1">
      <c r="A455" s="10"/>
      <c r="B455" s="18" t="str">
        <f>IF(A455="","",IFERROR(VLOOKUP(A455,PROFESSORES!A:B,2,FALSE),""))</f>
        <v/>
      </c>
      <c r="C455" s="10"/>
      <c r="D455" s="19"/>
      <c r="E455" s="19"/>
      <c r="F455" s="10"/>
      <c r="G455" s="11" t="str">
        <f t="shared" si="1"/>
        <v/>
      </c>
    </row>
    <row r="456" ht="15.75" customHeight="1">
      <c r="A456" s="12"/>
      <c r="B456" s="20" t="str">
        <f>IF(A456="","",IFERROR(VLOOKUP(A456,PROFESSORES!A:B,2,FALSE),""))</f>
        <v/>
      </c>
      <c r="C456" s="12"/>
      <c r="D456" s="21"/>
      <c r="E456" s="21"/>
      <c r="F456" s="12"/>
      <c r="G456" s="13" t="str">
        <f t="shared" si="1"/>
        <v/>
      </c>
    </row>
    <row r="457" ht="15.75" customHeight="1">
      <c r="A457" s="10"/>
      <c r="B457" s="18" t="str">
        <f>IF(A457="","",IFERROR(VLOOKUP(A457,PROFESSORES!A:B,2,FALSE),""))</f>
        <v/>
      </c>
      <c r="C457" s="10"/>
      <c r="D457" s="19"/>
      <c r="E457" s="19"/>
      <c r="F457" s="10"/>
      <c r="G457" s="11" t="str">
        <f t="shared" si="1"/>
        <v/>
      </c>
    </row>
    <row r="458" ht="15.75" customHeight="1">
      <c r="A458" s="12"/>
      <c r="B458" s="20" t="str">
        <f>IF(A458="","",IFERROR(VLOOKUP(A458,PROFESSORES!A:B,2,FALSE),""))</f>
        <v/>
      </c>
      <c r="C458" s="12"/>
      <c r="D458" s="21"/>
      <c r="E458" s="21"/>
      <c r="F458" s="12"/>
      <c r="G458" s="13" t="str">
        <f t="shared" si="1"/>
        <v/>
      </c>
    </row>
    <row r="459" ht="15.75" customHeight="1">
      <c r="A459" s="10"/>
      <c r="B459" s="18" t="str">
        <f>IF(A459="","",IFERROR(VLOOKUP(A459,PROFESSORES!A:B,2,FALSE),""))</f>
        <v/>
      </c>
      <c r="C459" s="10"/>
      <c r="D459" s="19"/>
      <c r="E459" s="19"/>
      <c r="F459" s="10"/>
      <c r="G459" s="11" t="str">
        <f t="shared" si="1"/>
        <v/>
      </c>
    </row>
    <row r="460" ht="15.75" customHeight="1">
      <c r="A460" s="12"/>
      <c r="B460" s="20" t="str">
        <f>IF(A460="","",IFERROR(VLOOKUP(A460,PROFESSORES!A:B,2,FALSE),""))</f>
        <v/>
      </c>
      <c r="C460" s="12"/>
      <c r="D460" s="21"/>
      <c r="E460" s="21"/>
      <c r="F460" s="12"/>
      <c r="G460" s="13" t="str">
        <f t="shared" si="1"/>
        <v/>
      </c>
    </row>
    <row r="461" ht="15.75" customHeight="1">
      <c r="A461" s="10"/>
      <c r="B461" s="18" t="str">
        <f>IF(A461="","",IFERROR(VLOOKUP(A461,PROFESSORES!A:B,2,FALSE),""))</f>
        <v/>
      </c>
      <c r="C461" s="10"/>
      <c r="D461" s="19"/>
      <c r="E461" s="19"/>
      <c r="F461" s="10"/>
      <c r="G461" s="11" t="str">
        <f t="shared" si="1"/>
        <v/>
      </c>
    </row>
    <row r="462" ht="15.75" customHeight="1">
      <c r="A462" s="12"/>
      <c r="B462" s="20" t="str">
        <f>IF(A462="","",IFERROR(VLOOKUP(A462,PROFESSORES!A:B,2,FALSE),""))</f>
        <v/>
      </c>
      <c r="C462" s="12"/>
      <c r="D462" s="21"/>
      <c r="E462" s="21"/>
      <c r="F462" s="12"/>
      <c r="G462" s="13" t="str">
        <f t="shared" si="1"/>
        <v/>
      </c>
    </row>
    <row r="463" ht="15.75" customHeight="1">
      <c r="A463" s="10"/>
      <c r="B463" s="18" t="str">
        <f>IF(A463="","",IFERROR(VLOOKUP(A463,PROFESSORES!A:B,2,FALSE),""))</f>
        <v/>
      </c>
      <c r="C463" s="10"/>
      <c r="D463" s="19"/>
      <c r="E463" s="19"/>
      <c r="F463" s="10"/>
      <c r="G463" s="11" t="str">
        <f t="shared" si="1"/>
        <v/>
      </c>
    </row>
    <row r="464" ht="15.75" customHeight="1">
      <c r="A464" s="12"/>
      <c r="B464" s="20" t="str">
        <f>IF(A464="","",IFERROR(VLOOKUP(A464,PROFESSORES!A:B,2,FALSE),""))</f>
        <v/>
      </c>
      <c r="C464" s="12"/>
      <c r="D464" s="21"/>
      <c r="E464" s="21"/>
      <c r="F464" s="12"/>
      <c r="G464" s="13" t="str">
        <f t="shared" si="1"/>
        <v/>
      </c>
    </row>
    <row r="465" ht="15.75" customHeight="1">
      <c r="A465" s="10"/>
      <c r="B465" s="18" t="str">
        <f>IF(A465="","",IFERROR(VLOOKUP(A465,PROFESSORES!A:B,2,FALSE),""))</f>
        <v/>
      </c>
      <c r="C465" s="10"/>
      <c r="D465" s="19"/>
      <c r="E465" s="19"/>
      <c r="F465" s="10"/>
      <c r="G465" s="11" t="str">
        <f t="shared" si="1"/>
        <v/>
      </c>
    </row>
    <row r="466" ht="15.75" customHeight="1">
      <c r="A466" s="12"/>
      <c r="B466" s="20" t="str">
        <f>IF(A466="","",IFERROR(VLOOKUP(A466,PROFESSORES!A:B,2,FALSE),""))</f>
        <v/>
      </c>
      <c r="C466" s="12"/>
      <c r="D466" s="21"/>
      <c r="E466" s="21"/>
      <c r="F466" s="12"/>
      <c r="G466" s="13" t="str">
        <f t="shared" si="1"/>
        <v/>
      </c>
    </row>
    <row r="467" ht="15.75" customHeight="1">
      <c r="A467" s="10"/>
      <c r="B467" s="18" t="str">
        <f>IF(A467="","",IFERROR(VLOOKUP(A467,PROFESSORES!A:B,2,FALSE),""))</f>
        <v/>
      </c>
      <c r="C467" s="10"/>
      <c r="D467" s="19"/>
      <c r="E467" s="19"/>
      <c r="F467" s="10"/>
      <c r="G467" s="11" t="str">
        <f t="shared" si="1"/>
        <v/>
      </c>
    </row>
    <row r="468" ht="15.75" customHeight="1">
      <c r="A468" s="12"/>
      <c r="B468" s="20" t="str">
        <f>IF(A468="","",IFERROR(VLOOKUP(A468,PROFESSORES!A:B,2,FALSE),""))</f>
        <v/>
      </c>
      <c r="C468" s="12"/>
      <c r="D468" s="21"/>
      <c r="E468" s="21"/>
      <c r="F468" s="12"/>
      <c r="G468" s="13" t="str">
        <f t="shared" si="1"/>
        <v/>
      </c>
    </row>
    <row r="469" ht="15.75" customHeight="1">
      <c r="A469" s="10"/>
      <c r="B469" s="18" t="str">
        <f>IF(A469="","",IFERROR(VLOOKUP(A469,PROFESSORES!A:B,2,FALSE),""))</f>
        <v/>
      </c>
      <c r="C469" s="10"/>
      <c r="D469" s="19"/>
      <c r="E469" s="19"/>
      <c r="F469" s="10"/>
      <c r="G469" s="11" t="str">
        <f t="shared" si="1"/>
        <v/>
      </c>
    </row>
    <row r="470" ht="15.75" customHeight="1">
      <c r="A470" s="12"/>
      <c r="B470" s="20" t="str">
        <f>IF(A470="","",IFERROR(VLOOKUP(A470,PROFESSORES!A:B,2,FALSE),""))</f>
        <v/>
      </c>
      <c r="C470" s="12"/>
      <c r="D470" s="21"/>
      <c r="E470" s="21"/>
      <c r="F470" s="12"/>
      <c r="G470" s="13" t="str">
        <f t="shared" si="1"/>
        <v/>
      </c>
    </row>
    <row r="471" ht="15.75" customHeight="1">
      <c r="A471" s="10"/>
      <c r="B471" s="18" t="str">
        <f>IF(A471="","",IFERROR(VLOOKUP(A471,PROFESSORES!A:B,2,FALSE),""))</f>
        <v/>
      </c>
      <c r="C471" s="10"/>
      <c r="D471" s="19"/>
      <c r="E471" s="19"/>
      <c r="F471" s="10"/>
      <c r="G471" s="11" t="str">
        <f t="shared" si="1"/>
        <v/>
      </c>
    </row>
    <row r="472" ht="15.75" customHeight="1">
      <c r="A472" s="12"/>
      <c r="B472" s="20" t="str">
        <f>IF(A472="","",IFERROR(VLOOKUP(A472,PROFESSORES!A:B,2,FALSE),""))</f>
        <v/>
      </c>
      <c r="C472" s="12"/>
      <c r="D472" s="21"/>
      <c r="E472" s="21"/>
      <c r="F472" s="12"/>
      <c r="G472" s="13" t="str">
        <f t="shared" si="1"/>
        <v/>
      </c>
    </row>
    <row r="473" ht="15.75" customHeight="1">
      <c r="A473" s="10"/>
      <c r="B473" s="18" t="str">
        <f>IF(A473="","",IFERROR(VLOOKUP(A473,PROFESSORES!A:B,2,FALSE),""))</f>
        <v/>
      </c>
      <c r="C473" s="10"/>
      <c r="D473" s="19"/>
      <c r="E473" s="19"/>
      <c r="F473" s="10"/>
      <c r="G473" s="11" t="str">
        <f t="shared" si="1"/>
        <v/>
      </c>
    </row>
    <row r="474" ht="15.75" customHeight="1">
      <c r="A474" s="12"/>
      <c r="B474" s="20" t="str">
        <f>IF(A474="","",IFERROR(VLOOKUP(A474,PROFESSORES!A:B,2,FALSE),""))</f>
        <v/>
      </c>
      <c r="C474" s="12"/>
      <c r="D474" s="21"/>
      <c r="E474" s="21"/>
      <c r="F474" s="12"/>
      <c r="G474" s="13" t="str">
        <f t="shared" si="1"/>
        <v/>
      </c>
    </row>
    <row r="475" ht="15.75" customHeight="1">
      <c r="A475" s="10"/>
      <c r="B475" s="18" t="str">
        <f>IF(A475="","",IFERROR(VLOOKUP(A475,PROFESSORES!A:B,2,FALSE),""))</f>
        <v/>
      </c>
      <c r="C475" s="10"/>
      <c r="D475" s="19"/>
      <c r="E475" s="19"/>
      <c r="F475" s="10"/>
      <c r="G475" s="11" t="str">
        <f t="shared" si="1"/>
        <v/>
      </c>
    </row>
    <row r="476" ht="15.75" customHeight="1">
      <c r="A476" s="12"/>
      <c r="B476" s="20" t="str">
        <f>IF(A476="","",IFERROR(VLOOKUP(A476,PROFESSORES!A:B,2,FALSE),""))</f>
        <v/>
      </c>
      <c r="C476" s="12"/>
      <c r="D476" s="21"/>
      <c r="E476" s="21"/>
      <c r="F476" s="12"/>
      <c r="G476" s="13" t="str">
        <f t="shared" si="1"/>
        <v/>
      </c>
    </row>
    <row r="477" ht="15.75" customHeight="1">
      <c r="A477" s="10"/>
      <c r="B477" s="18" t="str">
        <f>IF(A477="","",IFERROR(VLOOKUP(A477,PROFESSORES!A:B,2,FALSE),""))</f>
        <v/>
      </c>
      <c r="C477" s="10"/>
      <c r="D477" s="19"/>
      <c r="E477" s="19"/>
      <c r="F477" s="10"/>
      <c r="G477" s="11" t="str">
        <f t="shared" si="1"/>
        <v/>
      </c>
    </row>
    <row r="478" ht="15.75" customHeight="1">
      <c r="A478" s="12"/>
      <c r="B478" s="20" t="str">
        <f>IF(A478="","",IFERROR(VLOOKUP(A478,PROFESSORES!A:B,2,FALSE),""))</f>
        <v/>
      </c>
      <c r="C478" s="12"/>
      <c r="D478" s="21"/>
      <c r="E478" s="21"/>
      <c r="F478" s="12"/>
      <c r="G478" s="13" t="str">
        <f t="shared" si="1"/>
        <v/>
      </c>
    </row>
    <row r="479" ht="15.75" customHeight="1">
      <c r="A479" s="10"/>
      <c r="B479" s="18" t="str">
        <f>IF(A479="","",IFERROR(VLOOKUP(A479,PROFESSORES!A:B,2,FALSE),""))</f>
        <v/>
      </c>
      <c r="C479" s="10"/>
      <c r="D479" s="19"/>
      <c r="E479" s="19"/>
      <c r="F479" s="10"/>
      <c r="G479" s="11" t="str">
        <f t="shared" si="1"/>
        <v/>
      </c>
    </row>
    <row r="480" ht="15.75" customHeight="1">
      <c r="A480" s="12"/>
      <c r="B480" s="20" t="str">
        <f>IF(A480="","",IFERROR(VLOOKUP(A480,PROFESSORES!A:B,2,FALSE),""))</f>
        <v/>
      </c>
      <c r="C480" s="12"/>
      <c r="D480" s="21"/>
      <c r="E480" s="21"/>
      <c r="F480" s="12"/>
      <c r="G480" s="13" t="str">
        <f t="shared" si="1"/>
        <v/>
      </c>
    </row>
    <row r="481" ht="15.75" customHeight="1">
      <c r="A481" s="10"/>
      <c r="B481" s="18" t="str">
        <f>IF(A481="","",IFERROR(VLOOKUP(A481,PROFESSORES!A:B,2,FALSE),""))</f>
        <v/>
      </c>
      <c r="C481" s="10"/>
      <c r="D481" s="19"/>
      <c r="E481" s="19"/>
      <c r="F481" s="10"/>
      <c r="G481" s="11" t="str">
        <f t="shared" si="1"/>
        <v/>
      </c>
    </row>
    <row r="482" ht="15.75" customHeight="1">
      <c r="A482" s="12"/>
      <c r="B482" s="20" t="str">
        <f>IF(A482="","",IFERROR(VLOOKUP(A482,PROFESSORES!A:B,2,FALSE),""))</f>
        <v/>
      </c>
      <c r="C482" s="12"/>
      <c r="D482" s="21"/>
      <c r="E482" s="21"/>
      <c r="F482" s="12"/>
      <c r="G482" s="13" t="str">
        <f t="shared" si="1"/>
        <v/>
      </c>
    </row>
    <row r="483" ht="15.75" customHeight="1">
      <c r="A483" s="10"/>
      <c r="B483" s="18" t="str">
        <f>IF(A483="","",IFERROR(VLOOKUP(A483,PROFESSORES!A:B,2,FALSE),""))</f>
        <v/>
      </c>
      <c r="C483" s="10"/>
      <c r="D483" s="19"/>
      <c r="E483" s="19"/>
      <c r="F483" s="10"/>
      <c r="G483" s="11" t="str">
        <f t="shared" si="1"/>
        <v/>
      </c>
    </row>
    <row r="484" ht="15.75" customHeight="1">
      <c r="A484" s="12"/>
      <c r="B484" s="20" t="str">
        <f>IF(A484="","",IFERROR(VLOOKUP(A484,PROFESSORES!A:B,2,FALSE),""))</f>
        <v/>
      </c>
      <c r="C484" s="12"/>
      <c r="D484" s="21"/>
      <c r="E484" s="21"/>
      <c r="F484" s="12"/>
      <c r="G484" s="13" t="str">
        <f t="shared" si="1"/>
        <v/>
      </c>
    </row>
    <row r="485" ht="15.75" customHeight="1">
      <c r="A485" s="10"/>
      <c r="B485" s="18" t="str">
        <f>IF(A485="","",IFERROR(VLOOKUP(A485,PROFESSORES!A:B,2,FALSE),""))</f>
        <v/>
      </c>
      <c r="C485" s="10"/>
      <c r="D485" s="19"/>
      <c r="E485" s="19"/>
      <c r="F485" s="10"/>
      <c r="G485" s="11" t="str">
        <f t="shared" si="1"/>
        <v/>
      </c>
    </row>
    <row r="486" ht="15.75" customHeight="1">
      <c r="A486" s="12"/>
      <c r="B486" s="20" t="str">
        <f>IF(A486="","",IFERROR(VLOOKUP(A486,PROFESSORES!A:B,2,FALSE),""))</f>
        <v/>
      </c>
      <c r="C486" s="12"/>
      <c r="D486" s="21"/>
      <c r="E486" s="21"/>
      <c r="F486" s="12"/>
      <c r="G486" s="13" t="str">
        <f t="shared" si="1"/>
        <v/>
      </c>
    </row>
    <row r="487" ht="15.75" customHeight="1">
      <c r="A487" s="10"/>
      <c r="B487" s="18" t="str">
        <f>IF(A487="","",IFERROR(VLOOKUP(A487,PROFESSORES!A:B,2,FALSE),""))</f>
        <v/>
      </c>
      <c r="C487" s="10"/>
      <c r="D487" s="19"/>
      <c r="E487" s="19"/>
      <c r="F487" s="10"/>
      <c r="G487" s="11" t="str">
        <f t="shared" si="1"/>
        <v/>
      </c>
    </row>
    <row r="488" ht="15.75" customHeight="1">
      <c r="A488" s="12"/>
      <c r="B488" s="20" t="str">
        <f>IF(A488="","",IFERROR(VLOOKUP(A488,PROFESSORES!A:B,2,FALSE),""))</f>
        <v/>
      </c>
      <c r="C488" s="12"/>
      <c r="D488" s="21"/>
      <c r="E488" s="21"/>
      <c r="F488" s="12"/>
      <c r="G488" s="13" t="str">
        <f t="shared" si="1"/>
        <v/>
      </c>
    </row>
    <row r="489" ht="15.75" customHeight="1">
      <c r="A489" s="10"/>
      <c r="B489" s="18" t="str">
        <f>IF(A489="","",IFERROR(VLOOKUP(A489,PROFESSORES!A:B,2,FALSE),""))</f>
        <v/>
      </c>
      <c r="C489" s="10"/>
      <c r="D489" s="19"/>
      <c r="E489" s="19"/>
      <c r="F489" s="10"/>
      <c r="G489" s="11" t="str">
        <f t="shared" si="1"/>
        <v/>
      </c>
    </row>
    <row r="490" ht="15.75" customHeight="1">
      <c r="A490" s="12"/>
      <c r="B490" s="20" t="str">
        <f>IF(A490="","",IFERROR(VLOOKUP(A490,PROFESSORES!A:B,2,FALSE),""))</f>
        <v/>
      </c>
      <c r="C490" s="12"/>
      <c r="D490" s="21"/>
      <c r="E490" s="21"/>
      <c r="F490" s="12"/>
      <c r="G490" s="13" t="str">
        <f t="shared" si="1"/>
        <v/>
      </c>
    </row>
    <row r="491" ht="15.75" customHeight="1">
      <c r="A491" s="10"/>
      <c r="B491" s="18" t="str">
        <f>IF(A491="","",IFERROR(VLOOKUP(A491,PROFESSORES!A:B,2,FALSE),""))</f>
        <v/>
      </c>
      <c r="C491" s="10"/>
      <c r="D491" s="19"/>
      <c r="E491" s="19"/>
      <c r="F491" s="10"/>
      <c r="G491" s="11" t="str">
        <f t="shared" si="1"/>
        <v/>
      </c>
    </row>
    <row r="492" ht="15.75" customHeight="1">
      <c r="A492" s="12"/>
      <c r="B492" s="20" t="str">
        <f>IF(A492="","",IFERROR(VLOOKUP(A492,PROFESSORES!A:B,2,FALSE),""))</f>
        <v/>
      </c>
      <c r="C492" s="12"/>
      <c r="D492" s="21"/>
      <c r="E492" s="21"/>
      <c r="F492" s="12"/>
      <c r="G492" s="13" t="str">
        <f t="shared" si="1"/>
        <v/>
      </c>
    </row>
    <row r="493" ht="15.75" customHeight="1">
      <c r="A493" s="10"/>
      <c r="B493" s="18" t="str">
        <f>IF(A493="","",IFERROR(VLOOKUP(A493,PROFESSORES!A:B,2,FALSE),""))</f>
        <v/>
      </c>
      <c r="C493" s="10"/>
      <c r="D493" s="19"/>
      <c r="E493" s="19"/>
      <c r="F493" s="10"/>
      <c r="G493" s="11" t="str">
        <f t="shared" si="1"/>
        <v/>
      </c>
    </row>
    <row r="494" ht="15.75" customHeight="1">
      <c r="A494" s="12"/>
      <c r="B494" s="20" t="str">
        <f>IF(A494="","",IFERROR(VLOOKUP(A494,PROFESSORES!A:B,2,FALSE),""))</f>
        <v/>
      </c>
      <c r="C494" s="12"/>
      <c r="D494" s="21"/>
      <c r="E494" s="21"/>
      <c r="F494" s="12"/>
      <c r="G494" s="13" t="str">
        <f t="shared" si="1"/>
        <v/>
      </c>
    </row>
    <row r="495" ht="15.75" customHeight="1">
      <c r="A495" s="10"/>
      <c r="B495" s="18" t="str">
        <f>IF(A495="","",IFERROR(VLOOKUP(A495,PROFESSORES!A:B,2,FALSE),""))</f>
        <v/>
      </c>
      <c r="C495" s="10"/>
      <c r="D495" s="19"/>
      <c r="E495" s="19"/>
      <c r="F495" s="10"/>
      <c r="G495" s="11" t="str">
        <f t="shared" si="1"/>
        <v/>
      </c>
    </row>
    <row r="496" ht="15.75" customHeight="1">
      <c r="A496" s="12"/>
      <c r="B496" s="20" t="str">
        <f>IF(A496="","",IFERROR(VLOOKUP(A496,PROFESSORES!A:B,2,FALSE),""))</f>
        <v/>
      </c>
      <c r="C496" s="12"/>
      <c r="D496" s="21"/>
      <c r="E496" s="21"/>
      <c r="F496" s="12"/>
      <c r="G496" s="13" t="str">
        <f t="shared" si="1"/>
        <v/>
      </c>
    </row>
    <row r="497" ht="15.75" customHeight="1">
      <c r="A497" s="10"/>
      <c r="B497" s="18" t="str">
        <f>IF(A497="","",IFERROR(VLOOKUP(A497,PROFESSORES!A:B,2,FALSE),""))</f>
        <v/>
      </c>
      <c r="C497" s="10"/>
      <c r="D497" s="19"/>
      <c r="E497" s="19"/>
      <c r="F497" s="10"/>
      <c r="G497" s="11" t="str">
        <f t="shared" si="1"/>
        <v/>
      </c>
    </row>
    <row r="498" ht="15.75" customHeight="1">
      <c r="A498" s="12"/>
      <c r="B498" s="20" t="str">
        <f>IF(A498="","",IFERROR(VLOOKUP(A498,PROFESSORES!A:B,2,FALSE),""))</f>
        <v/>
      </c>
      <c r="C498" s="12"/>
      <c r="D498" s="21"/>
      <c r="E498" s="21"/>
      <c r="F498" s="12"/>
      <c r="G498" s="13" t="str">
        <f t="shared" si="1"/>
        <v/>
      </c>
    </row>
    <row r="499" ht="15.75" customHeight="1">
      <c r="A499" s="10"/>
      <c r="B499" s="18" t="str">
        <f>IF(A499="","",IFERROR(VLOOKUP(A499,PROFESSORES!A:B,2,FALSE),""))</f>
        <v/>
      </c>
      <c r="C499" s="10"/>
      <c r="D499" s="19"/>
      <c r="E499" s="19"/>
      <c r="F499" s="10"/>
      <c r="G499" s="11" t="str">
        <f t="shared" si="1"/>
        <v/>
      </c>
    </row>
    <row r="500" ht="15.75" customHeight="1">
      <c r="A500" s="12"/>
      <c r="B500" s="20" t="str">
        <f>IF(A500="","",IFERROR(VLOOKUP(A500,PROFESSORES!A:B,2,FALSE),""))</f>
        <v/>
      </c>
      <c r="C500" s="12"/>
      <c r="D500" s="21"/>
      <c r="E500" s="21"/>
      <c r="F500" s="12"/>
      <c r="G500" s="13" t="str">
        <f t="shared" si="1"/>
        <v/>
      </c>
    </row>
    <row r="501" ht="15.75" customHeight="1">
      <c r="A501" s="10"/>
      <c r="B501" s="18" t="str">
        <f>IF(A501="","",IFERROR(VLOOKUP(A501,PROFESSORES!A:B,2,FALSE),""))</f>
        <v/>
      </c>
      <c r="C501" s="10"/>
      <c r="D501" s="19"/>
      <c r="E501" s="19"/>
      <c r="F501" s="10"/>
      <c r="G501" s="11" t="str">
        <f t="shared" si="1"/>
        <v/>
      </c>
    </row>
    <row r="502" ht="15.75" customHeight="1">
      <c r="A502" s="12"/>
      <c r="B502" s="20" t="str">
        <f>IF(A502="","",IFERROR(VLOOKUP(A502,PROFESSORES!A:B,2,FALSE),""))</f>
        <v/>
      </c>
      <c r="C502" s="12"/>
      <c r="D502" s="21"/>
      <c r="E502" s="21"/>
      <c r="F502" s="12"/>
      <c r="G502" s="13" t="str">
        <f t="shared" si="1"/>
        <v/>
      </c>
    </row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G$502"/>
  <mergeCells count="1">
    <mergeCell ref="A1:G1"/>
  </mergeCells>
  <dataValidations>
    <dataValidation type="list" allowBlank="1" sqref="F3:F502">
      <formula1>"Presencial,Online,Ambas"</formula1>
    </dataValidation>
    <dataValidation type="list" allowBlank="1" sqref="C3:C502">
      <formula1>"Segunda,Terça,Quarta,Quinta,Sexta,Sábado,Domingo"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3" width="24.0"/>
    <col customWidth="1" min="4" max="4" width="22.0"/>
    <col customWidth="1" min="5" max="5" width="32.0"/>
    <col customWidth="1" min="6" max="6" width="10.0"/>
    <col customWidth="1" min="7" max="26" width="8.71"/>
  </cols>
  <sheetData>
    <row r="1">
      <c r="A1" s="1" t="s">
        <v>13</v>
      </c>
      <c r="B1" s="2"/>
      <c r="C1" s="2"/>
      <c r="D1" s="2"/>
      <c r="E1" s="2"/>
      <c r="F1" s="3"/>
    </row>
    <row r="2">
      <c r="A2" s="4" t="s">
        <v>1</v>
      </c>
      <c r="B2" s="4" t="s">
        <v>2</v>
      </c>
      <c r="C2" s="4" t="s">
        <v>14</v>
      </c>
      <c r="D2" s="4" t="s">
        <v>15</v>
      </c>
      <c r="E2" s="4" t="s">
        <v>16</v>
      </c>
      <c r="F2" s="4" t="s">
        <v>17</v>
      </c>
    </row>
    <row r="3">
      <c r="A3" s="22"/>
      <c r="B3" s="18" t="str">
        <f>IF(A3="","",IFERROR(VLOOKUP(A3,PROFESSORES!A:B,2,FALSE),""))</f>
        <v/>
      </c>
      <c r="C3" s="22"/>
      <c r="D3" s="22"/>
      <c r="E3" s="10"/>
      <c r="F3" s="11" t="str">
        <f t="shared" ref="F3:F502" si="1">IF(OR(A3="",C3=""),"","Sim")</f>
        <v/>
      </c>
    </row>
    <row r="4">
      <c r="A4" s="12"/>
      <c r="B4" s="20" t="str">
        <f>IF(A4="","",IFERROR(VLOOKUP(A4,PROFESSORES!A:B,2,FALSE),""))</f>
        <v/>
      </c>
      <c r="C4" s="12"/>
      <c r="D4" s="12"/>
      <c r="E4" s="12"/>
      <c r="F4" s="13" t="str">
        <f t="shared" si="1"/>
        <v/>
      </c>
    </row>
    <row r="5">
      <c r="A5" s="10"/>
      <c r="B5" s="18" t="str">
        <f>IF(A5="","",IFERROR(VLOOKUP(A5,PROFESSORES!A:B,2,FALSE),""))</f>
        <v/>
      </c>
      <c r="C5" s="10"/>
      <c r="D5" s="10"/>
      <c r="E5" s="10"/>
      <c r="F5" s="11" t="str">
        <f t="shared" si="1"/>
        <v/>
      </c>
    </row>
    <row r="6">
      <c r="A6" s="12"/>
      <c r="B6" s="20" t="str">
        <f>IF(A6="","",IFERROR(VLOOKUP(A6,PROFESSORES!A:B,2,FALSE),""))</f>
        <v/>
      </c>
      <c r="C6" s="12"/>
      <c r="D6" s="12"/>
      <c r="E6" s="12"/>
      <c r="F6" s="13" t="str">
        <f t="shared" si="1"/>
        <v/>
      </c>
    </row>
    <row r="7">
      <c r="A7" s="10"/>
      <c r="B7" s="18" t="str">
        <f>IF(A7="","",IFERROR(VLOOKUP(A7,PROFESSORES!A:B,2,FALSE),""))</f>
        <v/>
      </c>
      <c r="C7" s="10"/>
      <c r="D7" s="10"/>
      <c r="E7" s="10"/>
      <c r="F7" s="11" t="str">
        <f t="shared" si="1"/>
        <v/>
      </c>
    </row>
    <row r="8">
      <c r="A8" s="12"/>
      <c r="B8" s="20" t="str">
        <f>IF(A8="","",IFERROR(VLOOKUP(A8,PROFESSORES!A:B,2,FALSE),""))</f>
        <v/>
      </c>
      <c r="C8" s="12"/>
      <c r="D8" s="12"/>
      <c r="E8" s="12"/>
      <c r="F8" s="13" t="str">
        <f t="shared" si="1"/>
        <v/>
      </c>
    </row>
    <row r="9">
      <c r="A9" s="10"/>
      <c r="B9" s="18" t="str">
        <f>IF(A9="","",IFERROR(VLOOKUP(A9,PROFESSORES!A:B,2,FALSE),""))</f>
        <v/>
      </c>
      <c r="C9" s="10"/>
      <c r="D9" s="10"/>
      <c r="E9" s="10"/>
      <c r="F9" s="11" t="str">
        <f t="shared" si="1"/>
        <v/>
      </c>
    </row>
    <row r="10">
      <c r="A10" s="12"/>
      <c r="B10" s="20" t="str">
        <f>IF(A10="","",IFERROR(VLOOKUP(A10,PROFESSORES!A:B,2,FALSE),""))</f>
        <v/>
      </c>
      <c r="C10" s="12"/>
      <c r="D10" s="12"/>
      <c r="E10" s="12"/>
      <c r="F10" s="13" t="str">
        <f t="shared" si="1"/>
        <v/>
      </c>
    </row>
    <row r="11">
      <c r="A11" s="10"/>
      <c r="B11" s="18" t="str">
        <f>IF(A11="","",IFERROR(VLOOKUP(A11,PROFESSORES!A:B,2,FALSE),""))</f>
        <v/>
      </c>
      <c r="C11" s="10"/>
      <c r="D11" s="10"/>
      <c r="E11" s="10"/>
      <c r="F11" s="11" t="str">
        <f t="shared" si="1"/>
        <v/>
      </c>
    </row>
    <row r="12">
      <c r="A12" s="12"/>
      <c r="B12" s="20" t="str">
        <f>IF(A12="","",IFERROR(VLOOKUP(A12,PROFESSORES!A:B,2,FALSE),""))</f>
        <v/>
      </c>
      <c r="C12" s="12"/>
      <c r="D12" s="12"/>
      <c r="E12" s="12"/>
      <c r="F12" s="13" t="str">
        <f t="shared" si="1"/>
        <v/>
      </c>
    </row>
    <row r="13">
      <c r="A13" s="10"/>
      <c r="B13" s="18" t="str">
        <f>IF(A13="","",IFERROR(VLOOKUP(A13,PROFESSORES!A:B,2,FALSE),""))</f>
        <v/>
      </c>
      <c r="C13" s="10"/>
      <c r="D13" s="10"/>
      <c r="E13" s="10"/>
      <c r="F13" s="11" t="str">
        <f t="shared" si="1"/>
        <v/>
      </c>
    </row>
    <row r="14">
      <c r="A14" s="12"/>
      <c r="B14" s="20" t="str">
        <f>IF(A14="","",IFERROR(VLOOKUP(A14,PROFESSORES!A:B,2,FALSE),""))</f>
        <v/>
      </c>
      <c r="C14" s="12"/>
      <c r="D14" s="12"/>
      <c r="E14" s="12"/>
      <c r="F14" s="13" t="str">
        <f t="shared" si="1"/>
        <v/>
      </c>
    </row>
    <row r="15">
      <c r="A15" s="10"/>
      <c r="B15" s="18" t="str">
        <f>IF(A15="","",IFERROR(VLOOKUP(A15,PROFESSORES!A:B,2,FALSE),""))</f>
        <v/>
      </c>
      <c r="C15" s="10"/>
      <c r="D15" s="10"/>
      <c r="E15" s="10"/>
      <c r="F15" s="11" t="str">
        <f t="shared" si="1"/>
        <v/>
      </c>
    </row>
    <row r="16">
      <c r="A16" s="12"/>
      <c r="B16" s="20" t="str">
        <f>IF(A16="","",IFERROR(VLOOKUP(A16,PROFESSORES!A:B,2,FALSE),""))</f>
        <v/>
      </c>
      <c r="C16" s="12"/>
      <c r="D16" s="12"/>
      <c r="E16" s="12"/>
      <c r="F16" s="13" t="str">
        <f t="shared" si="1"/>
        <v/>
      </c>
    </row>
    <row r="17">
      <c r="A17" s="10"/>
      <c r="B17" s="18" t="str">
        <f>IF(A17="","",IFERROR(VLOOKUP(A17,PROFESSORES!A:B,2,FALSE),""))</f>
        <v/>
      </c>
      <c r="C17" s="10"/>
      <c r="D17" s="10"/>
      <c r="E17" s="10"/>
      <c r="F17" s="11" t="str">
        <f t="shared" si="1"/>
        <v/>
      </c>
    </row>
    <row r="18">
      <c r="A18" s="12"/>
      <c r="B18" s="20" t="str">
        <f>IF(A18="","",IFERROR(VLOOKUP(A18,PROFESSORES!A:B,2,FALSE),""))</f>
        <v/>
      </c>
      <c r="C18" s="12"/>
      <c r="D18" s="12"/>
      <c r="E18" s="12"/>
      <c r="F18" s="13" t="str">
        <f t="shared" si="1"/>
        <v/>
      </c>
    </row>
    <row r="19">
      <c r="A19" s="10"/>
      <c r="B19" s="18" t="str">
        <f>IF(A19="","",IFERROR(VLOOKUP(A19,PROFESSORES!A:B,2,FALSE),""))</f>
        <v/>
      </c>
      <c r="C19" s="10"/>
      <c r="D19" s="10"/>
      <c r="E19" s="10"/>
      <c r="F19" s="11" t="str">
        <f t="shared" si="1"/>
        <v/>
      </c>
    </row>
    <row r="20">
      <c r="A20" s="12"/>
      <c r="B20" s="20" t="str">
        <f>IF(A20="","",IFERROR(VLOOKUP(A20,PROFESSORES!A:B,2,FALSE),""))</f>
        <v/>
      </c>
      <c r="C20" s="12"/>
      <c r="D20" s="12"/>
      <c r="E20" s="12"/>
      <c r="F20" s="13" t="str">
        <f t="shared" si="1"/>
        <v/>
      </c>
    </row>
    <row r="21" ht="15.75" customHeight="1">
      <c r="A21" s="10"/>
      <c r="B21" s="18" t="str">
        <f>IF(A21="","",IFERROR(VLOOKUP(A21,PROFESSORES!A:B,2,FALSE),""))</f>
        <v/>
      </c>
      <c r="C21" s="10"/>
      <c r="D21" s="10"/>
      <c r="E21" s="10"/>
      <c r="F21" s="11" t="str">
        <f t="shared" si="1"/>
        <v/>
      </c>
    </row>
    <row r="22" ht="15.75" customHeight="1">
      <c r="A22" s="12"/>
      <c r="B22" s="20" t="str">
        <f>IF(A22="","",IFERROR(VLOOKUP(A22,PROFESSORES!A:B,2,FALSE),""))</f>
        <v/>
      </c>
      <c r="C22" s="12"/>
      <c r="D22" s="12"/>
      <c r="E22" s="12"/>
      <c r="F22" s="13" t="str">
        <f t="shared" si="1"/>
        <v/>
      </c>
    </row>
    <row r="23" ht="15.75" customHeight="1">
      <c r="A23" s="10"/>
      <c r="B23" s="18" t="str">
        <f>IF(A23="","",IFERROR(VLOOKUP(A23,PROFESSORES!A:B,2,FALSE),""))</f>
        <v/>
      </c>
      <c r="C23" s="10"/>
      <c r="D23" s="10"/>
      <c r="E23" s="10"/>
      <c r="F23" s="11" t="str">
        <f t="shared" si="1"/>
        <v/>
      </c>
    </row>
    <row r="24" ht="15.75" customHeight="1">
      <c r="A24" s="12"/>
      <c r="B24" s="20" t="str">
        <f>IF(A24="","",IFERROR(VLOOKUP(A24,PROFESSORES!A:B,2,FALSE),""))</f>
        <v/>
      </c>
      <c r="C24" s="12"/>
      <c r="D24" s="12"/>
      <c r="E24" s="12"/>
      <c r="F24" s="13" t="str">
        <f t="shared" si="1"/>
        <v/>
      </c>
    </row>
    <row r="25" ht="15.75" customHeight="1">
      <c r="A25" s="10"/>
      <c r="B25" s="18" t="str">
        <f>IF(A25="","",IFERROR(VLOOKUP(A25,PROFESSORES!A:B,2,FALSE),""))</f>
        <v/>
      </c>
      <c r="C25" s="10"/>
      <c r="D25" s="10"/>
      <c r="E25" s="10"/>
      <c r="F25" s="11" t="str">
        <f t="shared" si="1"/>
        <v/>
      </c>
    </row>
    <row r="26" ht="15.75" customHeight="1">
      <c r="A26" s="12"/>
      <c r="B26" s="20" t="str">
        <f>IF(A26="","",IFERROR(VLOOKUP(A26,PROFESSORES!A:B,2,FALSE),""))</f>
        <v/>
      </c>
      <c r="C26" s="12"/>
      <c r="D26" s="12"/>
      <c r="E26" s="12"/>
      <c r="F26" s="13" t="str">
        <f t="shared" si="1"/>
        <v/>
      </c>
    </row>
    <row r="27" ht="15.75" customHeight="1">
      <c r="A27" s="10"/>
      <c r="B27" s="18" t="str">
        <f>IF(A27="","",IFERROR(VLOOKUP(A27,PROFESSORES!A:B,2,FALSE),""))</f>
        <v/>
      </c>
      <c r="C27" s="10"/>
      <c r="D27" s="10"/>
      <c r="E27" s="10"/>
      <c r="F27" s="11" t="str">
        <f t="shared" si="1"/>
        <v/>
      </c>
    </row>
    <row r="28" ht="15.75" customHeight="1">
      <c r="A28" s="12"/>
      <c r="B28" s="20" t="str">
        <f>IF(A28="","",IFERROR(VLOOKUP(A28,PROFESSORES!A:B,2,FALSE),""))</f>
        <v/>
      </c>
      <c r="C28" s="12"/>
      <c r="D28" s="12"/>
      <c r="E28" s="12"/>
      <c r="F28" s="13" t="str">
        <f t="shared" si="1"/>
        <v/>
      </c>
    </row>
    <row r="29" ht="15.75" customHeight="1">
      <c r="A29" s="10"/>
      <c r="B29" s="18" t="str">
        <f>IF(A29="","",IFERROR(VLOOKUP(A29,PROFESSORES!A:B,2,FALSE),""))</f>
        <v/>
      </c>
      <c r="C29" s="10"/>
      <c r="D29" s="10"/>
      <c r="E29" s="10"/>
      <c r="F29" s="11" t="str">
        <f t="shared" si="1"/>
        <v/>
      </c>
    </row>
    <row r="30" ht="15.75" customHeight="1">
      <c r="A30" s="12"/>
      <c r="B30" s="20" t="str">
        <f>IF(A30="","",IFERROR(VLOOKUP(A30,PROFESSORES!A:B,2,FALSE),""))</f>
        <v/>
      </c>
      <c r="C30" s="12"/>
      <c r="D30" s="12"/>
      <c r="E30" s="12"/>
      <c r="F30" s="13" t="str">
        <f t="shared" si="1"/>
        <v/>
      </c>
    </row>
    <row r="31" ht="15.75" customHeight="1">
      <c r="A31" s="10"/>
      <c r="B31" s="18" t="str">
        <f>IF(A31="","",IFERROR(VLOOKUP(A31,PROFESSORES!A:B,2,FALSE),""))</f>
        <v/>
      </c>
      <c r="C31" s="10"/>
      <c r="D31" s="10"/>
      <c r="E31" s="10"/>
      <c r="F31" s="11" t="str">
        <f t="shared" si="1"/>
        <v/>
      </c>
    </row>
    <row r="32" ht="15.75" customHeight="1">
      <c r="A32" s="12"/>
      <c r="B32" s="20" t="str">
        <f>IF(A32="","",IFERROR(VLOOKUP(A32,PROFESSORES!A:B,2,FALSE),""))</f>
        <v/>
      </c>
      <c r="C32" s="12"/>
      <c r="D32" s="12"/>
      <c r="E32" s="12"/>
      <c r="F32" s="13" t="str">
        <f t="shared" si="1"/>
        <v/>
      </c>
    </row>
    <row r="33" ht="15.75" customHeight="1">
      <c r="A33" s="10"/>
      <c r="B33" s="18" t="str">
        <f>IF(A33="","",IFERROR(VLOOKUP(A33,PROFESSORES!A:B,2,FALSE),""))</f>
        <v/>
      </c>
      <c r="C33" s="10"/>
      <c r="D33" s="10"/>
      <c r="E33" s="10"/>
      <c r="F33" s="11" t="str">
        <f t="shared" si="1"/>
        <v/>
      </c>
    </row>
    <row r="34" ht="15.75" customHeight="1">
      <c r="A34" s="12"/>
      <c r="B34" s="20" t="str">
        <f>IF(A34="","",IFERROR(VLOOKUP(A34,PROFESSORES!A:B,2,FALSE),""))</f>
        <v/>
      </c>
      <c r="C34" s="12"/>
      <c r="D34" s="12"/>
      <c r="E34" s="12"/>
      <c r="F34" s="13" t="str">
        <f t="shared" si="1"/>
        <v/>
      </c>
    </row>
    <row r="35" ht="15.75" customHeight="1">
      <c r="A35" s="10"/>
      <c r="B35" s="18" t="str">
        <f>IF(A35="","",IFERROR(VLOOKUP(A35,PROFESSORES!A:B,2,FALSE),""))</f>
        <v/>
      </c>
      <c r="C35" s="10"/>
      <c r="D35" s="10"/>
      <c r="E35" s="10"/>
      <c r="F35" s="11" t="str">
        <f t="shared" si="1"/>
        <v/>
      </c>
    </row>
    <row r="36" ht="15.75" customHeight="1">
      <c r="A36" s="12"/>
      <c r="B36" s="20" t="str">
        <f>IF(A36="","",IFERROR(VLOOKUP(A36,PROFESSORES!A:B,2,FALSE),""))</f>
        <v/>
      </c>
      <c r="C36" s="12"/>
      <c r="D36" s="12"/>
      <c r="E36" s="12"/>
      <c r="F36" s="13" t="str">
        <f t="shared" si="1"/>
        <v/>
      </c>
    </row>
    <row r="37" ht="15.75" customHeight="1">
      <c r="A37" s="10"/>
      <c r="B37" s="18" t="str">
        <f>IF(A37="","",IFERROR(VLOOKUP(A37,PROFESSORES!A:B,2,FALSE),""))</f>
        <v/>
      </c>
      <c r="C37" s="10"/>
      <c r="D37" s="10"/>
      <c r="E37" s="10"/>
      <c r="F37" s="11" t="str">
        <f t="shared" si="1"/>
        <v/>
      </c>
    </row>
    <row r="38" ht="15.75" customHeight="1">
      <c r="A38" s="12"/>
      <c r="B38" s="20" t="str">
        <f>IF(A38="","",IFERROR(VLOOKUP(A38,PROFESSORES!A:B,2,FALSE),""))</f>
        <v/>
      </c>
      <c r="C38" s="12"/>
      <c r="D38" s="12"/>
      <c r="E38" s="12"/>
      <c r="F38" s="13" t="str">
        <f t="shared" si="1"/>
        <v/>
      </c>
    </row>
    <row r="39" ht="15.75" customHeight="1">
      <c r="A39" s="10"/>
      <c r="B39" s="18" t="str">
        <f>IF(A39="","",IFERROR(VLOOKUP(A39,PROFESSORES!A:B,2,FALSE),""))</f>
        <v/>
      </c>
      <c r="C39" s="10"/>
      <c r="D39" s="10"/>
      <c r="E39" s="10"/>
      <c r="F39" s="11" t="str">
        <f t="shared" si="1"/>
        <v/>
      </c>
    </row>
    <row r="40" ht="15.75" customHeight="1">
      <c r="A40" s="12"/>
      <c r="B40" s="20" t="str">
        <f>IF(A40="","",IFERROR(VLOOKUP(A40,PROFESSORES!A:B,2,FALSE),""))</f>
        <v/>
      </c>
      <c r="C40" s="12"/>
      <c r="D40" s="12"/>
      <c r="E40" s="12"/>
      <c r="F40" s="13" t="str">
        <f t="shared" si="1"/>
        <v/>
      </c>
    </row>
    <row r="41" ht="15.75" customHeight="1">
      <c r="A41" s="10"/>
      <c r="B41" s="18" t="str">
        <f>IF(A41="","",IFERROR(VLOOKUP(A41,PROFESSORES!A:B,2,FALSE),""))</f>
        <v/>
      </c>
      <c r="C41" s="10"/>
      <c r="D41" s="10"/>
      <c r="E41" s="10"/>
      <c r="F41" s="11" t="str">
        <f t="shared" si="1"/>
        <v/>
      </c>
    </row>
    <row r="42" ht="15.75" customHeight="1">
      <c r="A42" s="12"/>
      <c r="B42" s="20" t="str">
        <f>IF(A42="","",IFERROR(VLOOKUP(A42,PROFESSORES!A:B,2,FALSE),""))</f>
        <v/>
      </c>
      <c r="C42" s="12"/>
      <c r="D42" s="12"/>
      <c r="E42" s="12"/>
      <c r="F42" s="13" t="str">
        <f t="shared" si="1"/>
        <v/>
      </c>
    </row>
    <row r="43" ht="15.75" customHeight="1">
      <c r="A43" s="10"/>
      <c r="B43" s="18" t="str">
        <f>IF(A43="","",IFERROR(VLOOKUP(A43,PROFESSORES!A:B,2,FALSE),""))</f>
        <v/>
      </c>
      <c r="C43" s="10"/>
      <c r="D43" s="10"/>
      <c r="E43" s="10"/>
      <c r="F43" s="11" t="str">
        <f t="shared" si="1"/>
        <v/>
      </c>
    </row>
    <row r="44" ht="15.75" customHeight="1">
      <c r="A44" s="12"/>
      <c r="B44" s="20" t="str">
        <f>IF(A44="","",IFERROR(VLOOKUP(A44,PROFESSORES!A:B,2,FALSE),""))</f>
        <v/>
      </c>
      <c r="C44" s="12"/>
      <c r="D44" s="12"/>
      <c r="E44" s="12"/>
      <c r="F44" s="13" t="str">
        <f t="shared" si="1"/>
        <v/>
      </c>
    </row>
    <row r="45" ht="15.75" customHeight="1">
      <c r="A45" s="10"/>
      <c r="B45" s="18" t="str">
        <f>IF(A45="","",IFERROR(VLOOKUP(A45,PROFESSORES!A:B,2,FALSE),""))</f>
        <v/>
      </c>
      <c r="C45" s="10"/>
      <c r="D45" s="10"/>
      <c r="E45" s="10"/>
      <c r="F45" s="11" t="str">
        <f t="shared" si="1"/>
        <v/>
      </c>
    </row>
    <row r="46" ht="15.75" customHeight="1">
      <c r="A46" s="12"/>
      <c r="B46" s="20" t="str">
        <f>IF(A46="","",IFERROR(VLOOKUP(A46,PROFESSORES!A:B,2,FALSE),""))</f>
        <v/>
      </c>
      <c r="C46" s="12"/>
      <c r="D46" s="12"/>
      <c r="E46" s="12"/>
      <c r="F46" s="13" t="str">
        <f t="shared" si="1"/>
        <v/>
      </c>
    </row>
    <row r="47" ht="15.75" customHeight="1">
      <c r="A47" s="10"/>
      <c r="B47" s="18" t="str">
        <f>IF(A47="","",IFERROR(VLOOKUP(A47,PROFESSORES!A:B,2,FALSE),""))</f>
        <v/>
      </c>
      <c r="C47" s="10"/>
      <c r="D47" s="10"/>
      <c r="E47" s="10"/>
      <c r="F47" s="11" t="str">
        <f t="shared" si="1"/>
        <v/>
      </c>
    </row>
    <row r="48" ht="15.75" customHeight="1">
      <c r="A48" s="12"/>
      <c r="B48" s="20" t="str">
        <f>IF(A48="","",IFERROR(VLOOKUP(A48,PROFESSORES!A:B,2,FALSE),""))</f>
        <v/>
      </c>
      <c r="C48" s="12"/>
      <c r="D48" s="12"/>
      <c r="E48" s="12"/>
      <c r="F48" s="13" t="str">
        <f t="shared" si="1"/>
        <v/>
      </c>
    </row>
    <row r="49" ht="15.75" customHeight="1">
      <c r="A49" s="10"/>
      <c r="B49" s="18" t="str">
        <f>IF(A49="","",IFERROR(VLOOKUP(A49,PROFESSORES!A:B,2,FALSE),""))</f>
        <v/>
      </c>
      <c r="C49" s="10"/>
      <c r="D49" s="10"/>
      <c r="E49" s="10"/>
      <c r="F49" s="11" t="str">
        <f t="shared" si="1"/>
        <v/>
      </c>
    </row>
    <row r="50" ht="15.75" customHeight="1">
      <c r="A50" s="12"/>
      <c r="B50" s="20" t="str">
        <f>IF(A50="","",IFERROR(VLOOKUP(A50,PROFESSORES!A:B,2,FALSE),""))</f>
        <v/>
      </c>
      <c r="C50" s="12"/>
      <c r="D50" s="12"/>
      <c r="E50" s="12"/>
      <c r="F50" s="13" t="str">
        <f t="shared" si="1"/>
        <v/>
      </c>
    </row>
    <row r="51" ht="15.75" customHeight="1">
      <c r="A51" s="10"/>
      <c r="B51" s="18" t="str">
        <f>IF(A51="","",IFERROR(VLOOKUP(A51,PROFESSORES!A:B,2,FALSE),""))</f>
        <v/>
      </c>
      <c r="C51" s="10"/>
      <c r="D51" s="10"/>
      <c r="E51" s="10"/>
      <c r="F51" s="11" t="str">
        <f t="shared" si="1"/>
        <v/>
      </c>
    </row>
    <row r="52" ht="15.75" customHeight="1">
      <c r="A52" s="12"/>
      <c r="B52" s="20" t="str">
        <f>IF(A52="","",IFERROR(VLOOKUP(A52,PROFESSORES!A:B,2,FALSE),""))</f>
        <v/>
      </c>
      <c r="C52" s="12"/>
      <c r="D52" s="12"/>
      <c r="E52" s="12"/>
      <c r="F52" s="13" t="str">
        <f t="shared" si="1"/>
        <v/>
      </c>
    </row>
    <row r="53" ht="15.75" customHeight="1">
      <c r="A53" s="10"/>
      <c r="B53" s="18" t="str">
        <f>IF(A53="","",IFERROR(VLOOKUP(A53,PROFESSORES!A:B,2,FALSE),""))</f>
        <v/>
      </c>
      <c r="C53" s="10"/>
      <c r="D53" s="10"/>
      <c r="E53" s="10"/>
      <c r="F53" s="11" t="str">
        <f t="shared" si="1"/>
        <v/>
      </c>
    </row>
    <row r="54" ht="15.75" customHeight="1">
      <c r="A54" s="12"/>
      <c r="B54" s="20" t="str">
        <f>IF(A54="","",IFERROR(VLOOKUP(A54,PROFESSORES!A:B,2,FALSE),""))</f>
        <v/>
      </c>
      <c r="C54" s="12"/>
      <c r="D54" s="12"/>
      <c r="E54" s="12"/>
      <c r="F54" s="13" t="str">
        <f t="shared" si="1"/>
        <v/>
      </c>
    </row>
    <row r="55" ht="15.75" customHeight="1">
      <c r="A55" s="10"/>
      <c r="B55" s="18" t="str">
        <f>IF(A55="","",IFERROR(VLOOKUP(A55,PROFESSORES!A:B,2,FALSE),""))</f>
        <v/>
      </c>
      <c r="C55" s="10"/>
      <c r="D55" s="10"/>
      <c r="E55" s="10"/>
      <c r="F55" s="11" t="str">
        <f t="shared" si="1"/>
        <v/>
      </c>
    </row>
    <row r="56" ht="15.75" customHeight="1">
      <c r="A56" s="12"/>
      <c r="B56" s="20" t="str">
        <f>IF(A56="","",IFERROR(VLOOKUP(A56,PROFESSORES!A:B,2,FALSE),""))</f>
        <v/>
      </c>
      <c r="C56" s="12"/>
      <c r="D56" s="12"/>
      <c r="E56" s="12"/>
      <c r="F56" s="13" t="str">
        <f t="shared" si="1"/>
        <v/>
      </c>
    </row>
    <row r="57" ht="15.75" customHeight="1">
      <c r="A57" s="10"/>
      <c r="B57" s="18" t="str">
        <f>IF(A57="","",IFERROR(VLOOKUP(A57,PROFESSORES!A:B,2,FALSE),""))</f>
        <v/>
      </c>
      <c r="C57" s="10"/>
      <c r="D57" s="10"/>
      <c r="E57" s="10"/>
      <c r="F57" s="11" t="str">
        <f t="shared" si="1"/>
        <v/>
      </c>
    </row>
    <row r="58" ht="15.75" customHeight="1">
      <c r="A58" s="12"/>
      <c r="B58" s="20" t="str">
        <f>IF(A58="","",IFERROR(VLOOKUP(A58,PROFESSORES!A:B,2,FALSE),""))</f>
        <v/>
      </c>
      <c r="C58" s="12"/>
      <c r="D58" s="12"/>
      <c r="E58" s="12"/>
      <c r="F58" s="13" t="str">
        <f t="shared" si="1"/>
        <v/>
      </c>
    </row>
    <row r="59" ht="15.75" customHeight="1">
      <c r="A59" s="10"/>
      <c r="B59" s="18" t="str">
        <f>IF(A59="","",IFERROR(VLOOKUP(A59,PROFESSORES!A:B,2,FALSE),""))</f>
        <v/>
      </c>
      <c r="C59" s="10"/>
      <c r="D59" s="10"/>
      <c r="E59" s="10"/>
      <c r="F59" s="11" t="str">
        <f t="shared" si="1"/>
        <v/>
      </c>
    </row>
    <row r="60" ht="15.75" customHeight="1">
      <c r="A60" s="12"/>
      <c r="B60" s="20" t="str">
        <f>IF(A60="","",IFERROR(VLOOKUP(A60,PROFESSORES!A:B,2,FALSE),""))</f>
        <v/>
      </c>
      <c r="C60" s="12"/>
      <c r="D60" s="12"/>
      <c r="E60" s="12"/>
      <c r="F60" s="13" t="str">
        <f t="shared" si="1"/>
        <v/>
      </c>
    </row>
    <row r="61" ht="15.75" customHeight="1">
      <c r="A61" s="10"/>
      <c r="B61" s="18" t="str">
        <f>IF(A61="","",IFERROR(VLOOKUP(A61,PROFESSORES!A:B,2,FALSE),""))</f>
        <v/>
      </c>
      <c r="C61" s="10"/>
      <c r="D61" s="10"/>
      <c r="E61" s="10"/>
      <c r="F61" s="11" t="str">
        <f t="shared" si="1"/>
        <v/>
      </c>
    </row>
    <row r="62" ht="15.75" customHeight="1">
      <c r="A62" s="12"/>
      <c r="B62" s="20" t="str">
        <f>IF(A62="","",IFERROR(VLOOKUP(A62,PROFESSORES!A:B,2,FALSE),""))</f>
        <v/>
      </c>
      <c r="C62" s="12"/>
      <c r="D62" s="12"/>
      <c r="E62" s="12"/>
      <c r="F62" s="13" t="str">
        <f t="shared" si="1"/>
        <v/>
      </c>
    </row>
    <row r="63" ht="15.75" customHeight="1">
      <c r="A63" s="10"/>
      <c r="B63" s="18" t="str">
        <f>IF(A63="","",IFERROR(VLOOKUP(A63,PROFESSORES!A:B,2,FALSE),""))</f>
        <v/>
      </c>
      <c r="C63" s="10"/>
      <c r="D63" s="10"/>
      <c r="E63" s="10"/>
      <c r="F63" s="11" t="str">
        <f t="shared" si="1"/>
        <v/>
      </c>
    </row>
    <row r="64" ht="15.75" customHeight="1">
      <c r="A64" s="12"/>
      <c r="B64" s="20" t="str">
        <f>IF(A64="","",IFERROR(VLOOKUP(A64,PROFESSORES!A:B,2,FALSE),""))</f>
        <v/>
      </c>
      <c r="C64" s="12"/>
      <c r="D64" s="12"/>
      <c r="E64" s="12"/>
      <c r="F64" s="13" t="str">
        <f t="shared" si="1"/>
        <v/>
      </c>
    </row>
    <row r="65" ht="15.75" customHeight="1">
      <c r="A65" s="10"/>
      <c r="B65" s="18" t="str">
        <f>IF(A65="","",IFERROR(VLOOKUP(A65,PROFESSORES!A:B,2,FALSE),""))</f>
        <v/>
      </c>
      <c r="C65" s="10"/>
      <c r="D65" s="10"/>
      <c r="E65" s="10"/>
      <c r="F65" s="11" t="str">
        <f t="shared" si="1"/>
        <v/>
      </c>
    </row>
    <row r="66" ht="15.75" customHeight="1">
      <c r="A66" s="12"/>
      <c r="B66" s="20" t="str">
        <f>IF(A66="","",IFERROR(VLOOKUP(A66,PROFESSORES!A:B,2,FALSE),""))</f>
        <v/>
      </c>
      <c r="C66" s="12"/>
      <c r="D66" s="12"/>
      <c r="E66" s="12"/>
      <c r="F66" s="13" t="str">
        <f t="shared" si="1"/>
        <v/>
      </c>
    </row>
    <row r="67" ht="15.75" customHeight="1">
      <c r="A67" s="10"/>
      <c r="B67" s="18" t="str">
        <f>IF(A67="","",IFERROR(VLOOKUP(A67,PROFESSORES!A:B,2,FALSE),""))</f>
        <v/>
      </c>
      <c r="C67" s="10"/>
      <c r="D67" s="10"/>
      <c r="E67" s="10"/>
      <c r="F67" s="11" t="str">
        <f t="shared" si="1"/>
        <v/>
      </c>
    </row>
    <row r="68" ht="15.75" customHeight="1">
      <c r="A68" s="12"/>
      <c r="B68" s="20" t="str">
        <f>IF(A68="","",IFERROR(VLOOKUP(A68,PROFESSORES!A:B,2,FALSE),""))</f>
        <v/>
      </c>
      <c r="C68" s="12"/>
      <c r="D68" s="12"/>
      <c r="E68" s="12"/>
      <c r="F68" s="13" t="str">
        <f t="shared" si="1"/>
        <v/>
      </c>
    </row>
    <row r="69" ht="15.75" customHeight="1">
      <c r="A69" s="10"/>
      <c r="B69" s="18" t="str">
        <f>IF(A69="","",IFERROR(VLOOKUP(A69,PROFESSORES!A:B,2,FALSE),""))</f>
        <v/>
      </c>
      <c r="C69" s="10"/>
      <c r="D69" s="10"/>
      <c r="E69" s="10"/>
      <c r="F69" s="11" t="str">
        <f t="shared" si="1"/>
        <v/>
      </c>
    </row>
    <row r="70" ht="15.75" customHeight="1">
      <c r="A70" s="12"/>
      <c r="B70" s="20" t="str">
        <f>IF(A70="","",IFERROR(VLOOKUP(A70,PROFESSORES!A:B,2,FALSE),""))</f>
        <v/>
      </c>
      <c r="C70" s="12"/>
      <c r="D70" s="12"/>
      <c r="E70" s="12"/>
      <c r="F70" s="13" t="str">
        <f t="shared" si="1"/>
        <v/>
      </c>
    </row>
    <row r="71" ht="15.75" customHeight="1">
      <c r="A71" s="10"/>
      <c r="B71" s="18" t="str">
        <f>IF(A71="","",IFERROR(VLOOKUP(A71,PROFESSORES!A:B,2,FALSE),""))</f>
        <v/>
      </c>
      <c r="C71" s="10"/>
      <c r="D71" s="10"/>
      <c r="E71" s="10"/>
      <c r="F71" s="11" t="str">
        <f t="shared" si="1"/>
        <v/>
      </c>
    </row>
    <row r="72" ht="15.75" customHeight="1">
      <c r="A72" s="12"/>
      <c r="B72" s="20" t="str">
        <f>IF(A72="","",IFERROR(VLOOKUP(A72,PROFESSORES!A:B,2,FALSE),""))</f>
        <v/>
      </c>
      <c r="C72" s="12"/>
      <c r="D72" s="12"/>
      <c r="E72" s="12"/>
      <c r="F72" s="13" t="str">
        <f t="shared" si="1"/>
        <v/>
      </c>
    </row>
    <row r="73" ht="15.75" customHeight="1">
      <c r="A73" s="10"/>
      <c r="B73" s="18" t="str">
        <f>IF(A73="","",IFERROR(VLOOKUP(A73,PROFESSORES!A:B,2,FALSE),""))</f>
        <v/>
      </c>
      <c r="C73" s="10"/>
      <c r="D73" s="10"/>
      <c r="E73" s="10"/>
      <c r="F73" s="11" t="str">
        <f t="shared" si="1"/>
        <v/>
      </c>
    </row>
    <row r="74" ht="15.75" customHeight="1">
      <c r="A74" s="12"/>
      <c r="B74" s="20" t="str">
        <f>IF(A74="","",IFERROR(VLOOKUP(A74,PROFESSORES!A:B,2,FALSE),""))</f>
        <v/>
      </c>
      <c r="C74" s="12"/>
      <c r="D74" s="12"/>
      <c r="E74" s="12"/>
      <c r="F74" s="13" t="str">
        <f t="shared" si="1"/>
        <v/>
      </c>
    </row>
    <row r="75" ht="15.75" customHeight="1">
      <c r="A75" s="10"/>
      <c r="B75" s="18" t="str">
        <f>IF(A75="","",IFERROR(VLOOKUP(A75,PROFESSORES!A:B,2,FALSE),""))</f>
        <v/>
      </c>
      <c r="C75" s="10"/>
      <c r="D75" s="10"/>
      <c r="E75" s="10"/>
      <c r="F75" s="11" t="str">
        <f t="shared" si="1"/>
        <v/>
      </c>
    </row>
    <row r="76" ht="15.75" customHeight="1">
      <c r="A76" s="12"/>
      <c r="B76" s="20" t="str">
        <f>IF(A76="","",IFERROR(VLOOKUP(A76,PROFESSORES!A:B,2,FALSE),""))</f>
        <v/>
      </c>
      <c r="C76" s="12"/>
      <c r="D76" s="12"/>
      <c r="E76" s="12"/>
      <c r="F76" s="13" t="str">
        <f t="shared" si="1"/>
        <v/>
      </c>
    </row>
    <row r="77" ht="15.75" customHeight="1">
      <c r="A77" s="10"/>
      <c r="B77" s="18" t="str">
        <f>IF(A77="","",IFERROR(VLOOKUP(A77,PROFESSORES!A:B,2,FALSE),""))</f>
        <v/>
      </c>
      <c r="C77" s="10"/>
      <c r="D77" s="10"/>
      <c r="E77" s="10"/>
      <c r="F77" s="11" t="str">
        <f t="shared" si="1"/>
        <v/>
      </c>
    </row>
    <row r="78" ht="15.75" customHeight="1">
      <c r="A78" s="12"/>
      <c r="B78" s="20" t="str">
        <f>IF(A78="","",IFERROR(VLOOKUP(A78,PROFESSORES!A:B,2,FALSE),""))</f>
        <v/>
      </c>
      <c r="C78" s="12"/>
      <c r="D78" s="12"/>
      <c r="E78" s="12"/>
      <c r="F78" s="13" t="str">
        <f t="shared" si="1"/>
        <v/>
      </c>
    </row>
    <row r="79" ht="15.75" customHeight="1">
      <c r="A79" s="10"/>
      <c r="B79" s="18" t="str">
        <f>IF(A79="","",IFERROR(VLOOKUP(A79,PROFESSORES!A:B,2,FALSE),""))</f>
        <v/>
      </c>
      <c r="C79" s="10"/>
      <c r="D79" s="10"/>
      <c r="E79" s="10"/>
      <c r="F79" s="11" t="str">
        <f t="shared" si="1"/>
        <v/>
      </c>
    </row>
    <row r="80" ht="15.75" customHeight="1">
      <c r="A80" s="12"/>
      <c r="B80" s="20" t="str">
        <f>IF(A80="","",IFERROR(VLOOKUP(A80,PROFESSORES!A:B,2,FALSE),""))</f>
        <v/>
      </c>
      <c r="C80" s="12"/>
      <c r="D80" s="12"/>
      <c r="E80" s="12"/>
      <c r="F80" s="13" t="str">
        <f t="shared" si="1"/>
        <v/>
      </c>
    </row>
    <row r="81" ht="15.75" customHeight="1">
      <c r="A81" s="10"/>
      <c r="B81" s="18" t="str">
        <f>IF(A81="","",IFERROR(VLOOKUP(A81,PROFESSORES!A:B,2,FALSE),""))</f>
        <v/>
      </c>
      <c r="C81" s="10"/>
      <c r="D81" s="10"/>
      <c r="E81" s="10"/>
      <c r="F81" s="11" t="str">
        <f t="shared" si="1"/>
        <v/>
      </c>
    </row>
    <row r="82" ht="15.75" customHeight="1">
      <c r="A82" s="12"/>
      <c r="B82" s="20" t="str">
        <f>IF(A82="","",IFERROR(VLOOKUP(A82,PROFESSORES!A:B,2,FALSE),""))</f>
        <v/>
      </c>
      <c r="C82" s="12"/>
      <c r="D82" s="12"/>
      <c r="E82" s="12"/>
      <c r="F82" s="13" t="str">
        <f t="shared" si="1"/>
        <v/>
      </c>
    </row>
    <row r="83" ht="15.75" customHeight="1">
      <c r="A83" s="10"/>
      <c r="B83" s="18" t="str">
        <f>IF(A83="","",IFERROR(VLOOKUP(A83,PROFESSORES!A:B,2,FALSE),""))</f>
        <v/>
      </c>
      <c r="C83" s="10"/>
      <c r="D83" s="10"/>
      <c r="E83" s="10"/>
      <c r="F83" s="11" t="str">
        <f t="shared" si="1"/>
        <v/>
      </c>
    </row>
    <row r="84" ht="15.75" customHeight="1">
      <c r="A84" s="12"/>
      <c r="B84" s="20" t="str">
        <f>IF(A84="","",IFERROR(VLOOKUP(A84,PROFESSORES!A:B,2,FALSE),""))</f>
        <v/>
      </c>
      <c r="C84" s="12"/>
      <c r="D84" s="12"/>
      <c r="E84" s="12"/>
      <c r="F84" s="13" t="str">
        <f t="shared" si="1"/>
        <v/>
      </c>
    </row>
    <row r="85" ht="15.75" customHeight="1">
      <c r="A85" s="10"/>
      <c r="B85" s="18" t="str">
        <f>IF(A85="","",IFERROR(VLOOKUP(A85,PROFESSORES!A:B,2,FALSE),""))</f>
        <v/>
      </c>
      <c r="C85" s="10"/>
      <c r="D85" s="10"/>
      <c r="E85" s="10"/>
      <c r="F85" s="11" t="str">
        <f t="shared" si="1"/>
        <v/>
      </c>
    </row>
    <row r="86" ht="15.75" customHeight="1">
      <c r="A86" s="12"/>
      <c r="B86" s="20" t="str">
        <f>IF(A86="","",IFERROR(VLOOKUP(A86,PROFESSORES!A:B,2,FALSE),""))</f>
        <v/>
      </c>
      <c r="C86" s="12"/>
      <c r="D86" s="12"/>
      <c r="E86" s="12"/>
      <c r="F86" s="13" t="str">
        <f t="shared" si="1"/>
        <v/>
      </c>
    </row>
    <row r="87" ht="15.75" customHeight="1">
      <c r="A87" s="10"/>
      <c r="B87" s="18" t="str">
        <f>IF(A87="","",IFERROR(VLOOKUP(A87,PROFESSORES!A:B,2,FALSE),""))</f>
        <v/>
      </c>
      <c r="C87" s="10"/>
      <c r="D87" s="10"/>
      <c r="E87" s="10"/>
      <c r="F87" s="11" t="str">
        <f t="shared" si="1"/>
        <v/>
      </c>
    </row>
    <row r="88" ht="15.75" customHeight="1">
      <c r="A88" s="12"/>
      <c r="B88" s="20" t="str">
        <f>IF(A88="","",IFERROR(VLOOKUP(A88,PROFESSORES!A:B,2,FALSE),""))</f>
        <v/>
      </c>
      <c r="C88" s="12"/>
      <c r="D88" s="12"/>
      <c r="E88" s="12"/>
      <c r="F88" s="13" t="str">
        <f t="shared" si="1"/>
        <v/>
      </c>
    </row>
    <row r="89" ht="15.75" customHeight="1">
      <c r="A89" s="10"/>
      <c r="B89" s="18" t="str">
        <f>IF(A89="","",IFERROR(VLOOKUP(A89,PROFESSORES!A:B,2,FALSE),""))</f>
        <v/>
      </c>
      <c r="C89" s="10"/>
      <c r="D89" s="10"/>
      <c r="E89" s="10"/>
      <c r="F89" s="11" t="str">
        <f t="shared" si="1"/>
        <v/>
      </c>
    </row>
    <row r="90" ht="15.75" customHeight="1">
      <c r="A90" s="12"/>
      <c r="B90" s="20" t="str">
        <f>IF(A90="","",IFERROR(VLOOKUP(A90,PROFESSORES!A:B,2,FALSE),""))</f>
        <v/>
      </c>
      <c r="C90" s="12"/>
      <c r="D90" s="12"/>
      <c r="E90" s="12"/>
      <c r="F90" s="13" t="str">
        <f t="shared" si="1"/>
        <v/>
      </c>
    </row>
    <row r="91" ht="15.75" customHeight="1">
      <c r="A91" s="10"/>
      <c r="B91" s="18" t="str">
        <f>IF(A91="","",IFERROR(VLOOKUP(A91,PROFESSORES!A:B,2,FALSE),""))</f>
        <v/>
      </c>
      <c r="C91" s="10"/>
      <c r="D91" s="10"/>
      <c r="E91" s="10"/>
      <c r="F91" s="11" t="str">
        <f t="shared" si="1"/>
        <v/>
      </c>
    </row>
    <row r="92" ht="15.75" customHeight="1">
      <c r="A92" s="12"/>
      <c r="B92" s="20" t="str">
        <f>IF(A92="","",IFERROR(VLOOKUP(A92,PROFESSORES!A:B,2,FALSE),""))</f>
        <v/>
      </c>
      <c r="C92" s="12"/>
      <c r="D92" s="12"/>
      <c r="E92" s="12"/>
      <c r="F92" s="13" t="str">
        <f t="shared" si="1"/>
        <v/>
      </c>
    </row>
    <row r="93" ht="15.75" customHeight="1">
      <c r="A93" s="10"/>
      <c r="B93" s="18" t="str">
        <f>IF(A93="","",IFERROR(VLOOKUP(A93,PROFESSORES!A:B,2,FALSE),""))</f>
        <v/>
      </c>
      <c r="C93" s="10"/>
      <c r="D93" s="10"/>
      <c r="E93" s="10"/>
      <c r="F93" s="11" t="str">
        <f t="shared" si="1"/>
        <v/>
      </c>
    </row>
    <row r="94" ht="15.75" customHeight="1">
      <c r="A94" s="12"/>
      <c r="B94" s="20" t="str">
        <f>IF(A94="","",IFERROR(VLOOKUP(A94,PROFESSORES!A:B,2,FALSE),""))</f>
        <v/>
      </c>
      <c r="C94" s="12"/>
      <c r="D94" s="12"/>
      <c r="E94" s="12"/>
      <c r="F94" s="13" t="str">
        <f t="shared" si="1"/>
        <v/>
      </c>
    </row>
    <row r="95" ht="15.75" customHeight="1">
      <c r="A95" s="10"/>
      <c r="B95" s="18" t="str">
        <f>IF(A95="","",IFERROR(VLOOKUP(A95,PROFESSORES!A:B,2,FALSE),""))</f>
        <v/>
      </c>
      <c r="C95" s="10"/>
      <c r="D95" s="10"/>
      <c r="E95" s="10"/>
      <c r="F95" s="11" t="str">
        <f t="shared" si="1"/>
        <v/>
      </c>
    </row>
    <row r="96" ht="15.75" customHeight="1">
      <c r="A96" s="12"/>
      <c r="B96" s="20" t="str">
        <f>IF(A96="","",IFERROR(VLOOKUP(A96,PROFESSORES!A:B,2,FALSE),""))</f>
        <v/>
      </c>
      <c r="C96" s="12"/>
      <c r="D96" s="12"/>
      <c r="E96" s="12"/>
      <c r="F96" s="13" t="str">
        <f t="shared" si="1"/>
        <v/>
      </c>
    </row>
    <row r="97" ht="15.75" customHeight="1">
      <c r="A97" s="10"/>
      <c r="B97" s="18" t="str">
        <f>IF(A97="","",IFERROR(VLOOKUP(A97,PROFESSORES!A:B,2,FALSE),""))</f>
        <v/>
      </c>
      <c r="C97" s="10"/>
      <c r="D97" s="10"/>
      <c r="E97" s="10"/>
      <c r="F97" s="11" t="str">
        <f t="shared" si="1"/>
        <v/>
      </c>
    </row>
    <row r="98" ht="15.75" customHeight="1">
      <c r="A98" s="12"/>
      <c r="B98" s="20" t="str">
        <f>IF(A98="","",IFERROR(VLOOKUP(A98,PROFESSORES!A:B,2,FALSE),""))</f>
        <v/>
      </c>
      <c r="C98" s="12"/>
      <c r="D98" s="12"/>
      <c r="E98" s="12"/>
      <c r="F98" s="13" t="str">
        <f t="shared" si="1"/>
        <v/>
      </c>
    </row>
    <row r="99" ht="15.75" customHeight="1">
      <c r="A99" s="10"/>
      <c r="B99" s="18" t="str">
        <f>IF(A99="","",IFERROR(VLOOKUP(A99,PROFESSORES!A:B,2,FALSE),""))</f>
        <v/>
      </c>
      <c r="C99" s="10"/>
      <c r="D99" s="10"/>
      <c r="E99" s="10"/>
      <c r="F99" s="11" t="str">
        <f t="shared" si="1"/>
        <v/>
      </c>
    </row>
    <row r="100" ht="15.75" customHeight="1">
      <c r="A100" s="12"/>
      <c r="B100" s="20" t="str">
        <f>IF(A100="","",IFERROR(VLOOKUP(A100,PROFESSORES!A:B,2,FALSE),""))</f>
        <v/>
      </c>
      <c r="C100" s="12"/>
      <c r="D100" s="12"/>
      <c r="E100" s="12"/>
      <c r="F100" s="13" t="str">
        <f t="shared" si="1"/>
        <v/>
      </c>
    </row>
    <row r="101" ht="15.75" customHeight="1">
      <c r="A101" s="10"/>
      <c r="B101" s="18" t="str">
        <f>IF(A101="","",IFERROR(VLOOKUP(A101,PROFESSORES!A:B,2,FALSE),""))</f>
        <v/>
      </c>
      <c r="C101" s="10"/>
      <c r="D101" s="10"/>
      <c r="E101" s="10"/>
      <c r="F101" s="11" t="str">
        <f t="shared" si="1"/>
        <v/>
      </c>
    </row>
    <row r="102" ht="15.75" customHeight="1">
      <c r="A102" s="12"/>
      <c r="B102" s="20" t="str">
        <f>IF(A102="","",IFERROR(VLOOKUP(A102,PROFESSORES!A:B,2,FALSE),""))</f>
        <v/>
      </c>
      <c r="C102" s="12"/>
      <c r="D102" s="12"/>
      <c r="E102" s="12"/>
      <c r="F102" s="13" t="str">
        <f t="shared" si="1"/>
        <v/>
      </c>
    </row>
    <row r="103" ht="15.75" customHeight="1">
      <c r="A103" s="10"/>
      <c r="B103" s="18" t="str">
        <f>IF(A103="","",IFERROR(VLOOKUP(A103,PROFESSORES!A:B,2,FALSE),""))</f>
        <v/>
      </c>
      <c r="C103" s="10"/>
      <c r="D103" s="10"/>
      <c r="E103" s="10"/>
      <c r="F103" s="11" t="str">
        <f t="shared" si="1"/>
        <v/>
      </c>
    </row>
    <row r="104" ht="15.75" customHeight="1">
      <c r="A104" s="12"/>
      <c r="B104" s="20" t="str">
        <f>IF(A104="","",IFERROR(VLOOKUP(A104,PROFESSORES!A:B,2,FALSE),""))</f>
        <v/>
      </c>
      <c r="C104" s="12"/>
      <c r="D104" s="12"/>
      <c r="E104" s="12"/>
      <c r="F104" s="13" t="str">
        <f t="shared" si="1"/>
        <v/>
      </c>
    </row>
    <row r="105" ht="15.75" customHeight="1">
      <c r="A105" s="10"/>
      <c r="B105" s="18" t="str">
        <f>IF(A105="","",IFERROR(VLOOKUP(A105,PROFESSORES!A:B,2,FALSE),""))</f>
        <v/>
      </c>
      <c r="C105" s="10"/>
      <c r="D105" s="10"/>
      <c r="E105" s="10"/>
      <c r="F105" s="11" t="str">
        <f t="shared" si="1"/>
        <v/>
      </c>
    </row>
    <row r="106" ht="15.75" customHeight="1">
      <c r="A106" s="12"/>
      <c r="B106" s="20" t="str">
        <f>IF(A106="","",IFERROR(VLOOKUP(A106,PROFESSORES!A:B,2,FALSE),""))</f>
        <v/>
      </c>
      <c r="C106" s="12"/>
      <c r="D106" s="12"/>
      <c r="E106" s="12"/>
      <c r="F106" s="13" t="str">
        <f t="shared" si="1"/>
        <v/>
      </c>
    </row>
    <row r="107" ht="15.75" customHeight="1">
      <c r="A107" s="10"/>
      <c r="B107" s="18" t="str">
        <f>IF(A107="","",IFERROR(VLOOKUP(A107,PROFESSORES!A:B,2,FALSE),""))</f>
        <v/>
      </c>
      <c r="C107" s="10"/>
      <c r="D107" s="10"/>
      <c r="E107" s="10"/>
      <c r="F107" s="11" t="str">
        <f t="shared" si="1"/>
        <v/>
      </c>
    </row>
    <row r="108" ht="15.75" customHeight="1">
      <c r="A108" s="12"/>
      <c r="B108" s="20" t="str">
        <f>IF(A108="","",IFERROR(VLOOKUP(A108,PROFESSORES!A:B,2,FALSE),""))</f>
        <v/>
      </c>
      <c r="C108" s="12"/>
      <c r="D108" s="12"/>
      <c r="E108" s="12"/>
      <c r="F108" s="13" t="str">
        <f t="shared" si="1"/>
        <v/>
      </c>
    </row>
    <row r="109" ht="15.75" customHeight="1">
      <c r="A109" s="10"/>
      <c r="B109" s="18" t="str">
        <f>IF(A109="","",IFERROR(VLOOKUP(A109,PROFESSORES!A:B,2,FALSE),""))</f>
        <v/>
      </c>
      <c r="C109" s="10"/>
      <c r="D109" s="10"/>
      <c r="E109" s="10"/>
      <c r="F109" s="11" t="str">
        <f t="shared" si="1"/>
        <v/>
      </c>
    </row>
    <row r="110" ht="15.75" customHeight="1">
      <c r="A110" s="12"/>
      <c r="B110" s="20" t="str">
        <f>IF(A110="","",IFERROR(VLOOKUP(A110,PROFESSORES!A:B,2,FALSE),""))</f>
        <v/>
      </c>
      <c r="C110" s="12"/>
      <c r="D110" s="12"/>
      <c r="E110" s="12"/>
      <c r="F110" s="13" t="str">
        <f t="shared" si="1"/>
        <v/>
      </c>
    </row>
    <row r="111" ht="15.75" customHeight="1">
      <c r="A111" s="10"/>
      <c r="B111" s="18" t="str">
        <f>IF(A111="","",IFERROR(VLOOKUP(A111,PROFESSORES!A:B,2,FALSE),""))</f>
        <v/>
      </c>
      <c r="C111" s="10"/>
      <c r="D111" s="10"/>
      <c r="E111" s="10"/>
      <c r="F111" s="11" t="str">
        <f t="shared" si="1"/>
        <v/>
      </c>
    </row>
    <row r="112" ht="15.75" customHeight="1">
      <c r="A112" s="12"/>
      <c r="B112" s="20" t="str">
        <f>IF(A112="","",IFERROR(VLOOKUP(A112,PROFESSORES!A:B,2,FALSE),""))</f>
        <v/>
      </c>
      <c r="C112" s="12"/>
      <c r="D112" s="12"/>
      <c r="E112" s="12"/>
      <c r="F112" s="13" t="str">
        <f t="shared" si="1"/>
        <v/>
      </c>
    </row>
    <row r="113" ht="15.75" customHeight="1">
      <c r="A113" s="10"/>
      <c r="B113" s="18" t="str">
        <f>IF(A113="","",IFERROR(VLOOKUP(A113,PROFESSORES!A:B,2,FALSE),""))</f>
        <v/>
      </c>
      <c r="C113" s="10"/>
      <c r="D113" s="10"/>
      <c r="E113" s="10"/>
      <c r="F113" s="11" t="str">
        <f t="shared" si="1"/>
        <v/>
      </c>
    </row>
    <row r="114" ht="15.75" customHeight="1">
      <c r="A114" s="12"/>
      <c r="B114" s="20" t="str">
        <f>IF(A114="","",IFERROR(VLOOKUP(A114,PROFESSORES!A:B,2,FALSE),""))</f>
        <v/>
      </c>
      <c r="C114" s="12"/>
      <c r="D114" s="12"/>
      <c r="E114" s="12"/>
      <c r="F114" s="13" t="str">
        <f t="shared" si="1"/>
        <v/>
      </c>
    </row>
    <row r="115" ht="15.75" customHeight="1">
      <c r="A115" s="10"/>
      <c r="B115" s="18" t="str">
        <f>IF(A115="","",IFERROR(VLOOKUP(A115,PROFESSORES!A:B,2,FALSE),""))</f>
        <v/>
      </c>
      <c r="C115" s="10"/>
      <c r="D115" s="10"/>
      <c r="E115" s="10"/>
      <c r="F115" s="11" t="str">
        <f t="shared" si="1"/>
        <v/>
      </c>
    </row>
    <row r="116" ht="15.75" customHeight="1">
      <c r="A116" s="12"/>
      <c r="B116" s="20" t="str">
        <f>IF(A116="","",IFERROR(VLOOKUP(A116,PROFESSORES!A:B,2,FALSE),""))</f>
        <v/>
      </c>
      <c r="C116" s="12"/>
      <c r="D116" s="12"/>
      <c r="E116" s="12"/>
      <c r="F116" s="13" t="str">
        <f t="shared" si="1"/>
        <v/>
      </c>
    </row>
    <row r="117" ht="15.75" customHeight="1">
      <c r="A117" s="10"/>
      <c r="B117" s="18" t="str">
        <f>IF(A117="","",IFERROR(VLOOKUP(A117,PROFESSORES!A:B,2,FALSE),""))</f>
        <v/>
      </c>
      <c r="C117" s="10"/>
      <c r="D117" s="10"/>
      <c r="E117" s="10"/>
      <c r="F117" s="11" t="str">
        <f t="shared" si="1"/>
        <v/>
      </c>
    </row>
    <row r="118" ht="15.75" customHeight="1">
      <c r="A118" s="12"/>
      <c r="B118" s="20" t="str">
        <f>IF(A118="","",IFERROR(VLOOKUP(A118,PROFESSORES!A:B,2,FALSE),""))</f>
        <v/>
      </c>
      <c r="C118" s="12"/>
      <c r="D118" s="12"/>
      <c r="E118" s="12"/>
      <c r="F118" s="13" t="str">
        <f t="shared" si="1"/>
        <v/>
      </c>
    </row>
    <row r="119" ht="15.75" customHeight="1">
      <c r="A119" s="10"/>
      <c r="B119" s="18" t="str">
        <f>IF(A119="","",IFERROR(VLOOKUP(A119,PROFESSORES!A:B,2,FALSE),""))</f>
        <v/>
      </c>
      <c r="C119" s="10"/>
      <c r="D119" s="10"/>
      <c r="E119" s="10"/>
      <c r="F119" s="11" t="str">
        <f t="shared" si="1"/>
        <v/>
      </c>
    </row>
    <row r="120" ht="15.75" customHeight="1">
      <c r="A120" s="12"/>
      <c r="B120" s="20" t="str">
        <f>IF(A120="","",IFERROR(VLOOKUP(A120,PROFESSORES!A:B,2,FALSE),""))</f>
        <v/>
      </c>
      <c r="C120" s="12"/>
      <c r="D120" s="12"/>
      <c r="E120" s="12"/>
      <c r="F120" s="13" t="str">
        <f t="shared" si="1"/>
        <v/>
      </c>
    </row>
    <row r="121" ht="15.75" customHeight="1">
      <c r="A121" s="10"/>
      <c r="B121" s="18" t="str">
        <f>IF(A121="","",IFERROR(VLOOKUP(A121,PROFESSORES!A:B,2,FALSE),""))</f>
        <v/>
      </c>
      <c r="C121" s="10"/>
      <c r="D121" s="10"/>
      <c r="E121" s="10"/>
      <c r="F121" s="11" t="str">
        <f t="shared" si="1"/>
        <v/>
      </c>
    </row>
    <row r="122" ht="15.75" customHeight="1">
      <c r="A122" s="12"/>
      <c r="B122" s="20" t="str">
        <f>IF(A122="","",IFERROR(VLOOKUP(A122,PROFESSORES!A:B,2,FALSE),""))</f>
        <v/>
      </c>
      <c r="C122" s="12"/>
      <c r="D122" s="12"/>
      <c r="E122" s="12"/>
      <c r="F122" s="13" t="str">
        <f t="shared" si="1"/>
        <v/>
      </c>
    </row>
    <row r="123" ht="15.75" customHeight="1">
      <c r="A123" s="10"/>
      <c r="B123" s="18" t="str">
        <f>IF(A123="","",IFERROR(VLOOKUP(A123,PROFESSORES!A:B,2,FALSE),""))</f>
        <v/>
      </c>
      <c r="C123" s="10"/>
      <c r="D123" s="10"/>
      <c r="E123" s="10"/>
      <c r="F123" s="11" t="str">
        <f t="shared" si="1"/>
        <v/>
      </c>
    </row>
    <row r="124" ht="15.75" customHeight="1">
      <c r="A124" s="12"/>
      <c r="B124" s="20" t="str">
        <f>IF(A124="","",IFERROR(VLOOKUP(A124,PROFESSORES!A:B,2,FALSE),""))</f>
        <v/>
      </c>
      <c r="C124" s="12"/>
      <c r="D124" s="12"/>
      <c r="E124" s="12"/>
      <c r="F124" s="13" t="str">
        <f t="shared" si="1"/>
        <v/>
      </c>
    </row>
    <row r="125" ht="15.75" customHeight="1">
      <c r="A125" s="10"/>
      <c r="B125" s="18" t="str">
        <f>IF(A125="","",IFERROR(VLOOKUP(A125,PROFESSORES!A:B,2,FALSE),""))</f>
        <v/>
      </c>
      <c r="C125" s="10"/>
      <c r="D125" s="10"/>
      <c r="E125" s="10"/>
      <c r="F125" s="11" t="str">
        <f t="shared" si="1"/>
        <v/>
      </c>
    </row>
    <row r="126" ht="15.75" customHeight="1">
      <c r="A126" s="12"/>
      <c r="B126" s="20" t="str">
        <f>IF(A126="","",IFERROR(VLOOKUP(A126,PROFESSORES!A:B,2,FALSE),""))</f>
        <v/>
      </c>
      <c r="C126" s="12"/>
      <c r="D126" s="12"/>
      <c r="E126" s="12"/>
      <c r="F126" s="13" t="str">
        <f t="shared" si="1"/>
        <v/>
      </c>
    </row>
    <row r="127" ht="15.75" customHeight="1">
      <c r="A127" s="10"/>
      <c r="B127" s="18" t="str">
        <f>IF(A127="","",IFERROR(VLOOKUP(A127,PROFESSORES!A:B,2,FALSE),""))</f>
        <v/>
      </c>
      <c r="C127" s="10"/>
      <c r="D127" s="10"/>
      <c r="E127" s="10"/>
      <c r="F127" s="11" t="str">
        <f t="shared" si="1"/>
        <v/>
      </c>
    </row>
    <row r="128" ht="15.75" customHeight="1">
      <c r="A128" s="12"/>
      <c r="B128" s="20" t="str">
        <f>IF(A128="","",IFERROR(VLOOKUP(A128,PROFESSORES!A:B,2,FALSE),""))</f>
        <v/>
      </c>
      <c r="C128" s="12"/>
      <c r="D128" s="12"/>
      <c r="E128" s="12"/>
      <c r="F128" s="13" t="str">
        <f t="shared" si="1"/>
        <v/>
      </c>
    </row>
    <row r="129" ht="15.75" customHeight="1">
      <c r="A129" s="10"/>
      <c r="B129" s="18" t="str">
        <f>IF(A129="","",IFERROR(VLOOKUP(A129,PROFESSORES!A:B,2,FALSE),""))</f>
        <v/>
      </c>
      <c r="C129" s="10"/>
      <c r="D129" s="10"/>
      <c r="E129" s="10"/>
      <c r="F129" s="11" t="str">
        <f t="shared" si="1"/>
        <v/>
      </c>
    </row>
    <row r="130" ht="15.75" customHeight="1">
      <c r="A130" s="12"/>
      <c r="B130" s="20" t="str">
        <f>IF(A130="","",IFERROR(VLOOKUP(A130,PROFESSORES!A:B,2,FALSE),""))</f>
        <v/>
      </c>
      <c r="C130" s="12"/>
      <c r="D130" s="12"/>
      <c r="E130" s="12"/>
      <c r="F130" s="13" t="str">
        <f t="shared" si="1"/>
        <v/>
      </c>
    </row>
    <row r="131" ht="15.75" customHeight="1">
      <c r="A131" s="10"/>
      <c r="B131" s="18" t="str">
        <f>IF(A131="","",IFERROR(VLOOKUP(A131,PROFESSORES!A:B,2,FALSE),""))</f>
        <v/>
      </c>
      <c r="C131" s="10"/>
      <c r="D131" s="10"/>
      <c r="E131" s="10"/>
      <c r="F131" s="11" t="str">
        <f t="shared" si="1"/>
        <v/>
      </c>
    </row>
    <row r="132" ht="15.75" customHeight="1">
      <c r="A132" s="12"/>
      <c r="B132" s="20" t="str">
        <f>IF(A132="","",IFERROR(VLOOKUP(A132,PROFESSORES!A:B,2,FALSE),""))</f>
        <v/>
      </c>
      <c r="C132" s="12"/>
      <c r="D132" s="12"/>
      <c r="E132" s="12"/>
      <c r="F132" s="13" t="str">
        <f t="shared" si="1"/>
        <v/>
      </c>
    </row>
    <row r="133" ht="15.75" customHeight="1">
      <c r="A133" s="10"/>
      <c r="B133" s="18" t="str">
        <f>IF(A133="","",IFERROR(VLOOKUP(A133,PROFESSORES!A:B,2,FALSE),""))</f>
        <v/>
      </c>
      <c r="C133" s="10"/>
      <c r="D133" s="10"/>
      <c r="E133" s="10"/>
      <c r="F133" s="11" t="str">
        <f t="shared" si="1"/>
        <v/>
      </c>
    </row>
    <row r="134" ht="15.75" customHeight="1">
      <c r="A134" s="12"/>
      <c r="B134" s="20" t="str">
        <f>IF(A134="","",IFERROR(VLOOKUP(A134,PROFESSORES!A:B,2,FALSE),""))</f>
        <v/>
      </c>
      <c r="C134" s="12"/>
      <c r="D134" s="12"/>
      <c r="E134" s="12"/>
      <c r="F134" s="13" t="str">
        <f t="shared" si="1"/>
        <v/>
      </c>
    </row>
    <row r="135" ht="15.75" customHeight="1">
      <c r="A135" s="10"/>
      <c r="B135" s="18" t="str">
        <f>IF(A135="","",IFERROR(VLOOKUP(A135,PROFESSORES!A:B,2,FALSE),""))</f>
        <v/>
      </c>
      <c r="C135" s="10"/>
      <c r="D135" s="10"/>
      <c r="E135" s="10"/>
      <c r="F135" s="11" t="str">
        <f t="shared" si="1"/>
        <v/>
      </c>
    </row>
    <row r="136" ht="15.75" customHeight="1">
      <c r="A136" s="12"/>
      <c r="B136" s="20" t="str">
        <f>IF(A136="","",IFERROR(VLOOKUP(A136,PROFESSORES!A:B,2,FALSE),""))</f>
        <v/>
      </c>
      <c r="C136" s="12"/>
      <c r="D136" s="12"/>
      <c r="E136" s="12"/>
      <c r="F136" s="13" t="str">
        <f t="shared" si="1"/>
        <v/>
      </c>
    </row>
    <row r="137" ht="15.75" customHeight="1">
      <c r="A137" s="10"/>
      <c r="B137" s="18" t="str">
        <f>IF(A137="","",IFERROR(VLOOKUP(A137,PROFESSORES!A:B,2,FALSE),""))</f>
        <v/>
      </c>
      <c r="C137" s="10"/>
      <c r="D137" s="10"/>
      <c r="E137" s="10"/>
      <c r="F137" s="11" t="str">
        <f t="shared" si="1"/>
        <v/>
      </c>
    </row>
    <row r="138" ht="15.75" customHeight="1">
      <c r="A138" s="12"/>
      <c r="B138" s="20" t="str">
        <f>IF(A138="","",IFERROR(VLOOKUP(A138,PROFESSORES!A:B,2,FALSE),""))</f>
        <v/>
      </c>
      <c r="C138" s="12"/>
      <c r="D138" s="12"/>
      <c r="E138" s="12"/>
      <c r="F138" s="13" t="str">
        <f t="shared" si="1"/>
        <v/>
      </c>
    </row>
    <row r="139" ht="15.75" customHeight="1">
      <c r="A139" s="10"/>
      <c r="B139" s="18" t="str">
        <f>IF(A139="","",IFERROR(VLOOKUP(A139,PROFESSORES!A:B,2,FALSE),""))</f>
        <v/>
      </c>
      <c r="C139" s="10"/>
      <c r="D139" s="10"/>
      <c r="E139" s="10"/>
      <c r="F139" s="11" t="str">
        <f t="shared" si="1"/>
        <v/>
      </c>
    </row>
    <row r="140" ht="15.75" customHeight="1">
      <c r="A140" s="12"/>
      <c r="B140" s="20" t="str">
        <f>IF(A140="","",IFERROR(VLOOKUP(A140,PROFESSORES!A:B,2,FALSE),""))</f>
        <v/>
      </c>
      <c r="C140" s="12"/>
      <c r="D140" s="12"/>
      <c r="E140" s="12"/>
      <c r="F140" s="13" t="str">
        <f t="shared" si="1"/>
        <v/>
      </c>
    </row>
    <row r="141" ht="15.75" customHeight="1">
      <c r="A141" s="10"/>
      <c r="B141" s="18" t="str">
        <f>IF(A141="","",IFERROR(VLOOKUP(A141,PROFESSORES!A:B,2,FALSE),""))</f>
        <v/>
      </c>
      <c r="C141" s="10"/>
      <c r="D141" s="10"/>
      <c r="E141" s="10"/>
      <c r="F141" s="11" t="str">
        <f t="shared" si="1"/>
        <v/>
      </c>
    </row>
    <row r="142" ht="15.75" customHeight="1">
      <c r="A142" s="12"/>
      <c r="B142" s="20" t="str">
        <f>IF(A142="","",IFERROR(VLOOKUP(A142,PROFESSORES!A:B,2,FALSE),""))</f>
        <v/>
      </c>
      <c r="C142" s="12"/>
      <c r="D142" s="12"/>
      <c r="E142" s="12"/>
      <c r="F142" s="13" t="str">
        <f t="shared" si="1"/>
        <v/>
      </c>
    </row>
    <row r="143" ht="15.75" customHeight="1">
      <c r="A143" s="10"/>
      <c r="B143" s="18" t="str">
        <f>IF(A143="","",IFERROR(VLOOKUP(A143,PROFESSORES!A:B,2,FALSE),""))</f>
        <v/>
      </c>
      <c r="C143" s="10"/>
      <c r="D143" s="10"/>
      <c r="E143" s="10"/>
      <c r="F143" s="11" t="str">
        <f t="shared" si="1"/>
        <v/>
      </c>
    </row>
    <row r="144" ht="15.75" customHeight="1">
      <c r="A144" s="12"/>
      <c r="B144" s="20" t="str">
        <f>IF(A144="","",IFERROR(VLOOKUP(A144,PROFESSORES!A:B,2,FALSE),""))</f>
        <v/>
      </c>
      <c r="C144" s="12"/>
      <c r="D144" s="12"/>
      <c r="E144" s="12"/>
      <c r="F144" s="13" t="str">
        <f t="shared" si="1"/>
        <v/>
      </c>
    </row>
    <row r="145" ht="15.75" customHeight="1">
      <c r="A145" s="10"/>
      <c r="B145" s="18" t="str">
        <f>IF(A145="","",IFERROR(VLOOKUP(A145,PROFESSORES!A:B,2,FALSE),""))</f>
        <v/>
      </c>
      <c r="C145" s="10"/>
      <c r="D145" s="10"/>
      <c r="E145" s="10"/>
      <c r="F145" s="11" t="str">
        <f t="shared" si="1"/>
        <v/>
      </c>
    </row>
    <row r="146" ht="15.75" customHeight="1">
      <c r="A146" s="12"/>
      <c r="B146" s="20" t="str">
        <f>IF(A146="","",IFERROR(VLOOKUP(A146,PROFESSORES!A:B,2,FALSE),""))</f>
        <v/>
      </c>
      <c r="C146" s="12"/>
      <c r="D146" s="12"/>
      <c r="E146" s="12"/>
      <c r="F146" s="13" t="str">
        <f t="shared" si="1"/>
        <v/>
      </c>
    </row>
    <row r="147" ht="15.75" customHeight="1">
      <c r="A147" s="10"/>
      <c r="B147" s="18" t="str">
        <f>IF(A147="","",IFERROR(VLOOKUP(A147,PROFESSORES!A:B,2,FALSE),""))</f>
        <v/>
      </c>
      <c r="C147" s="10"/>
      <c r="D147" s="10"/>
      <c r="E147" s="10"/>
      <c r="F147" s="11" t="str">
        <f t="shared" si="1"/>
        <v/>
      </c>
    </row>
    <row r="148" ht="15.75" customHeight="1">
      <c r="A148" s="12"/>
      <c r="B148" s="20" t="str">
        <f>IF(A148="","",IFERROR(VLOOKUP(A148,PROFESSORES!A:B,2,FALSE),""))</f>
        <v/>
      </c>
      <c r="C148" s="12"/>
      <c r="D148" s="12"/>
      <c r="E148" s="12"/>
      <c r="F148" s="13" t="str">
        <f t="shared" si="1"/>
        <v/>
      </c>
    </row>
    <row r="149" ht="15.75" customHeight="1">
      <c r="A149" s="10"/>
      <c r="B149" s="18" t="str">
        <f>IF(A149="","",IFERROR(VLOOKUP(A149,PROFESSORES!A:B,2,FALSE),""))</f>
        <v/>
      </c>
      <c r="C149" s="10"/>
      <c r="D149" s="10"/>
      <c r="E149" s="10"/>
      <c r="F149" s="11" t="str">
        <f t="shared" si="1"/>
        <v/>
      </c>
    </row>
    <row r="150" ht="15.75" customHeight="1">
      <c r="A150" s="12"/>
      <c r="B150" s="20" t="str">
        <f>IF(A150="","",IFERROR(VLOOKUP(A150,PROFESSORES!A:B,2,FALSE),""))</f>
        <v/>
      </c>
      <c r="C150" s="12"/>
      <c r="D150" s="12"/>
      <c r="E150" s="12"/>
      <c r="F150" s="13" t="str">
        <f t="shared" si="1"/>
        <v/>
      </c>
    </row>
    <row r="151" ht="15.75" customHeight="1">
      <c r="A151" s="10"/>
      <c r="B151" s="18" t="str">
        <f>IF(A151="","",IFERROR(VLOOKUP(A151,PROFESSORES!A:B,2,FALSE),""))</f>
        <v/>
      </c>
      <c r="C151" s="10"/>
      <c r="D151" s="10"/>
      <c r="E151" s="10"/>
      <c r="F151" s="11" t="str">
        <f t="shared" si="1"/>
        <v/>
      </c>
    </row>
    <row r="152" ht="15.75" customHeight="1">
      <c r="A152" s="12"/>
      <c r="B152" s="20" t="str">
        <f>IF(A152="","",IFERROR(VLOOKUP(A152,PROFESSORES!A:B,2,FALSE),""))</f>
        <v/>
      </c>
      <c r="C152" s="12"/>
      <c r="D152" s="12"/>
      <c r="E152" s="12"/>
      <c r="F152" s="13" t="str">
        <f t="shared" si="1"/>
        <v/>
      </c>
    </row>
    <row r="153" ht="15.75" customHeight="1">
      <c r="A153" s="10"/>
      <c r="B153" s="18" t="str">
        <f>IF(A153="","",IFERROR(VLOOKUP(A153,PROFESSORES!A:B,2,FALSE),""))</f>
        <v/>
      </c>
      <c r="C153" s="10"/>
      <c r="D153" s="10"/>
      <c r="E153" s="10"/>
      <c r="F153" s="11" t="str">
        <f t="shared" si="1"/>
        <v/>
      </c>
    </row>
    <row r="154" ht="15.75" customHeight="1">
      <c r="A154" s="12"/>
      <c r="B154" s="20" t="str">
        <f>IF(A154="","",IFERROR(VLOOKUP(A154,PROFESSORES!A:B,2,FALSE),""))</f>
        <v/>
      </c>
      <c r="C154" s="12"/>
      <c r="D154" s="12"/>
      <c r="E154" s="12"/>
      <c r="F154" s="13" t="str">
        <f t="shared" si="1"/>
        <v/>
      </c>
    </row>
    <row r="155" ht="15.75" customHeight="1">
      <c r="A155" s="10"/>
      <c r="B155" s="18" t="str">
        <f>IF(A155="","",IFERROR(VLOOKUP(A155,PROFESSORES!A:B,2,FALSE),""))</f>
        <v/>
      </c>
      <c r="C155" s="10"/>
      <c r="D155" s="10"/>
      <c r="E155" s="10"/>
      <c r="F155" s="11" t="str">
        <f t="shared" si="1"/>
        <v/>
      </c>
    </row>
    <row r="156" ht="15.75" customHeight="1">
      <c r="A156" s="12"/>
      <c r="B156" s="20" t="str">
        <f>IF(A156="","",IFERROR(VLOOKUP(A156,PROFESSORES!A:B,2,FALSE),""))</f>
        <v/>
      </c>
      <c r="C156" s="12"/>
      <c r="D156" s="12"/>
      <c r="E156" s="12"/>
      <c r="F156" s="13" t="str">
        <f t="shared" si="1"/>
        <v/>
      </c>
    </row>
    <row r="157" ht="15.75" customHeight="1">
      <c r="A157" s="10"/>
      <c r="B157" s="18" t="str">
        <f>IF(A157="","",IFERROR(VLOOKUP(A157,PROFESSORES!A:B,2,FALSE),""))</f>
        <v/>
      </c>
      <c r="C157" s="10"/>
      <c r="D157" s="10"/>
      <c r="E157" s="10"/>
      <c r="F157" s="11" t="str">
        <f t="shared" si="1"/>
        <v/>
      </c>
    </row>
    <row r="158" ht="15.75" customHeight="1">
      <c r="A158" s="12"/>
      <c r="B158" s="20" t="str">
        <f>IF(A158="","",IFERROR(VLOOKUP(A158,PROFESSORES!A:B,2,FALSE),""))</f>
        <v/>
      </c>
      <c r="C158" s="12"/>
      <c r="D158" s="12"/>
      <c r="E158" s="12"/>
      <c r="F158" s="13" t="str">
        <f t="shared" si="1"/>
        <v/>
      </c>
    </row>
    <row r="159" ht="15.75" customHeight="1">
      <c r="A159" s="10"/>
      <c r="B159" s="18" t="str">
        <f>IF(A159="","",IFERROR(VLOOKUP(A159,PROFESSORES!A:B,2,FALSE),""))</f>
        <v/>
      </c>
      <c r="C159" s="10"/>
      <c r="D159" s="10"/>
      <c r="E159" s="10"/>
      <c r="F159" s="11" t="str">
        <f t="shared" si="1"/>
        <v/>
      </c>
    </row>
    <row r="160" ht="15.75" customHeight="1">
      <c r="A160" s="12"/>
      <c r="B160" s="20" t="str">
        <f>IF(A160="","",IFERROR(VLOOKUP(A160,PROFESSORES!A:B,2,FALSE),""))</f>
        <v/>
      </c>
      <c r="C160" s="12"/>
      <c r="D160" s="12"/>
      <c r="E160" s="12"/>
      <c r="F160" s="13" t="str">
        <f t="shared" si="1"/>
        <v/>
      </c>
    </row>
    <row r="161" ht="15.75" customHeight="1">
      <c r="A161" s="10"/>
      <c r="B161" s="18" t="str">
        <f>IF(A161="","",IFERROR(VLOOKUP(A161,PROFESSORES!A:B,2,FALSE),""))</f>
        <v/>
      </c>
      <c r="C161" s="10"/>
      <c r="D161" s="10"/>
      <c r="E161" s="10"/>
      <c r="F161" s="11" t="str">
        <f t="shared" si="1"/>
        <v/>
      </c>
    </row>
    <row r="162" ht="15.75" customHeight="1">
      <c r="A162" s="12"/>
      <c r="B162" s="20" t="str">
        <f>IF(A162="","",IFERROR(VLOOKUP(A162,PROFESSORES!A:B,2,FALSE),""))</f>
        <v/>
      </c>
      <c r="C162" s="12"/>
      <c r="D162" s="12"/>
      <c r="E162" s="12"/>
      <c r="F162" s="13" t="str">
        <f t="shared" si="1"/>
        <v/>
      </c>
    </row>
    <row r="163" ht="15.75" customHeight="1">
      <c r="A163" s="10"/>
      <c r="B163" s="18" t="str">
        <f>IF(A163="","",IFERROR(VLOOKUP(A163,PROFESSORES!A:B,2,FALSE),""))</f>
        <v/>
      </c>
      <c r="C163" s="10"/>
      <c r="D163" s="10"/>
      <c r="E163" s="10"/>
      <c r="F163" s="11" t="str">
        <f t="shared" si="1"/>
        <v/>
      </c>
    </row>
    <row r="164" ht="15.75" customHeight="1">
      <c r="A164" s="12"/>
      <c r="B164" s="20" t="str">
        <f>IF(A164="","",IFERROR(VLOOKUP(A164,PROFESSORES!A:B,2,FALSE),""))</f>
        <v/>
      </c>
      <c r="C164" s="12"/>
      <c r="D164" s="12"/>
      <c r="E164" s="12"/>
      <c r="F164" s="13" t="str">
        <f t="shared" si="1"/>
        <v/>
      </c>
    </row>
    <row r="165" ht="15.75" customHeight="1">
      <c r="A165" s="10"/>
      <c r="B165" s="18" t="str">
        <f>IF(A165="","",IFERROR(VLOOKUP(A165,PROFESSORES!A:B,2,FALSE),""))</f>
        <v/>
      </c>
      <c r="C165" s="10"/>
      <c r="D165" s="10"/>
      <c r="E165" s="10"/>
      <c r="F165" s="11" t="str">
        <f t="shared" si="1"/>
        <v/>
      </c>
    </row>
    <row r="166" ht="15.75" customHeight="1">
      <c r="A166" s="12"/>
      <c r="B166" s="20" t="str">
        <f>IF(A166="","",IFERROR(VLOOKUP(A166,PROFESSORES!A:B,2,FALSE),""))</f>
        <v/>
      </c>
      <c r="C166" s="12"/>
      <c r="D166" s="12"/>
      <c r="E166" s="12"/>
      <c r="F166" s="13" t="str">
        <f t="shared" si="1"/>
        <v/>
      </c>
    </row>
    <row r="167" ht="15.75" customHeight="1">
      <c r="A167" s="10"/>
      <c r="B167" s="18" t="str">
        <f>IF(A167="","",IFERROR(VLOOKUP(A167,PROFESSORES!A:B,2,FALSE),""))</f>
        <v/>
      </c>
      <c r="C167" s="10"/>
      <c r="D167" s="10"/>
      <c r="E167" s="10"/>
      <c r="F167" s="11" t="str">
        <f t="shared" si="1"/>
        <v/>
      </c>
    </row>
    <row r="168" ht="15.75" customHeight="1">
      <c r="A168" s="12"/>
      <c r="B168" s="20" t="str">
        <f>IF(A168="","",IFERROR(VLOOKUP(A168,PROFESSORES!A:B,2,FALSE),""))</f>
        <v/>
      </c>
      <c r="C168" s="12"/>
      <c r="D168" s="12"/>
      <c r="E168" s="12"/>
      <c r="F168" s="13" t="str">
        <f t="shared" si="1"/>
        <v/>
      </c>
    </row>
    <row r="169" ht="15.75" customHeight="1">
      <c r="A169" s="10"/>
      <c r="B169" s="18" t="str">
        <f>IF(A169="","",IFERROR(VLOOKUP(A169,PROFESSORES!A:B,2,FALSE),""))</f>
        <v/>
      </c>
      <c r="C169" s="10"/>
      <c r="D169" s="10"/>
      <c r="E169" s="10"/>
      <c r="F169" s="11" t="str">
        <f t="shared" si="1"/>
        <v/>
      </c>
    </row>
    <row r="170" ht="15.75" customHeight="1">
      <c r="A170" s="12"/>
      <c r="B170" s="20" t="str">
        <f>IF(A170="","",IFERROR(VLOOKUP(A170,PROFESSORES!A:B,2,FALSE),""))</f>
        <v/>
      </c>
      <c r="C170" s="12"/>
      <c r="D170" s="12"/>
      <c r="E170" s="12"/>
      <c r="F170" s="13" t="str">
        <f t="shared" si="1"/>
        <v/>
      </c>
    </row>
    <row r="171" ht="15.75" customHeight="1">
      <c r="A171" s="10"/>
      <c r="B171" s="18" t="str">
        <f>IF(A171="","",IFERROR(VLOOKUP(A171,PROFESSORES!A:B,2,FALSE),""))</f>
        <v/>
      </c>
      <c r="C171" s="10"/>
      <c r="D171" s="10"/>
      <c r="E171" s="10"/>
      <c r="F171" s="11" t="str">
        <f t="shared" si="1"/>
        <v/>
      </c>
    </row>
    <row r="172" ht="15.75" customHeight="1">
      <c r="A172" s="12"/>
      <c r="B172" s="20" t="str">
        <f>IF(A172="","",IFERROR(VLOOKUP(A172,PROFESSORES!A:B,2,FALSE),""))</f>
        <v/>
      </c>
      <c r="C172" s="12"/>
      <c r="D172" s="12"/>
      <c r="E172" s="12"/>
      <c r="F172" s="13" t="str">
        <f t="shared" si="1"/>
        <v/>
      </c>
    </row>
    <row r="173" ht="15.75" customHeight="1">
      <c r="A173" s="10"/>
      <c r="B173" s="18" t="str">
        <f>IF(A173="","",IFERROR(VLOOKUP(A173,PROFESSORES!A:B,2,FALSE),""))</f>
        <v/>
      </c>
      <c r="C173" s="10"/>
      <c r="D173" s="10"/>
      <c r="E173" s="10"/>
      <c r="F173" s="11" t="str">
        <f t="shared" si="1"/>
        <v/>
      </c>
    </row>
    <row r="174" ht="15.75" customHeight="1">
      <c r="A174" s="12"/>
      <c r="B174" s="20" t="str">
        <f>IF(A174="","",IFERROR(VLOOKUP(A174,PROFESSORES!A:B,2,FALSE),""))</f>
        <v/>
      </c>
      <c r="C174" s="12"/>
      <c r="D174" s="12"/>
      <c r="E174" s="12"/>
      <c r="F174" s="13" t="str">
        <f t="shared" si="1"/>
        <v/>
      </c>
    </row>
    <row r="175" ht="15.75" customHeight="1">
      <c r="A175" s="10"/>
      <c r="B175" s="18" t="str">
        <f>IF(A175="","",IFERROR(VLOOKUP(A175,PROFESSORES!A:B,2,FALSE),""))</f>
        <v/>
      </c>
      <c r="C175" s="10"/>
      <c r="D175" s="10"/>
      <c r="E175" s="10"/>
      <c r="F175" s="11" t="str">
        <f t="shared" si="1"/>
        <v/>
      </c>
    </row>
    <row r="176" ht="15.75" customHeight="1">
      <c r="A176" s="12"/>
      <c r="B176" s="20" t="str">
        <f>IF(A176="","",IFERROR(VLOOKUP(A176,PROFESSORES!A:B,2,FALSE),""))</f>
        <v/>
      </c>
      <c r="C176" s="12"/>
      <c r="D176" s="12"/>
      <c r="E176" s="12"/>
      <c r="F176" s="13" t="str">
        <f t="shared" si="1"/>
        <v/>
      </c>
    </row>
    <row r="177" ht="15.75" customHeight="1">
      <c r="A177" s="10"/>
      <c r="B177" s="18" t="str">
        <f>IF(A177="","",IFERROR(VLOOKUP(A177,PROFESSORES!A:B,2,FALSE),""))</f>
        <v/>
      </c>
      <c r="C177" s="10"/>
      <c r="D177" s="10"/>
      <c r="E177" s="10"/>
      <c r="F177" s="11" t="str">
        <f t="shared" si="1"/>
        <v/>
      </c>
    </row>
    <row r="178" ht="15.75" customHeight="1">
      <c r="A178" s="12"/>
      <c r="B178" s="20" t="str">
        <f>IF(A178="","",IFERROR(VLOOKUP(A178,PROFESSORES!A:B,2,FALSE),""))</f>
        <v/>
      </c>
      <c r="C178" s="12"/>
      <c r="D178" s="12"/>
      <c r="E178" s="12"/>
      <c r="F178" s="13" t="str">
        <f t="shared" si="1"/>
        <v/>
      </c>
    </row>
    <row r="179" ht="15.75" customHeight="1">
      <c r="A179" s="10"/>
      <c r="B179" s="18" t="str">
        <f>IF(A179="","",IFERROR(VLOOKUP(A179,PROFESSORES!A:B,2,FALSE),""))</f>
        <v/>
      </c>
      <c r="C179" s="10"/>
      <c r="D179" s="10"/>
      <c r="E179" s="10"/>
      <c r="F179" s="11" t="str">
        <f t="shared" si="1"/>
        <v/>
      </c>
    </row>
    <row r="180" ht="15.75" customHeight="1">
      <c r="A180" s="12"/>
      <c r="B180" s="20" t="str">
        <f>IF(A180="","",IFERROR(VLOOKUP(A180,PROFESSORES!A:B,2,FALSE),""))</f>
        <v/>
      </c>
      <c r="C180" s="12"/>
      <c r="D180" s="12"/>
      <c r="E180" s="12"/>
      <c r="F180" s="13" t="str">
        <f t="shared" si="1"/>
        <v/>
      </c>
    </row>
    <row r="181" ht="15.75" customHeight="1">
      <c r="A181" s="10"/>
      <c r="B181" s="18" t="str">
        <f>IF(A181="","",IFERROR(VLOOKUP(A181,PROFESSORES!A:B,2,FALSE),""))</f>
        <v/>
      </c>
      <c r="C181" s="10"/>
      <c r="D181" s="10"/>
      <c r="E181" s="10"/>
      <c r="F181" s="11" t="str">
        <f t="shared" si="1"/>
        <v/>
      </c>
    </row>
    <row r="182" ht="15.75" customHeight="1">
      <c r="A182" s="12"/>
      <c r="B182" s="20" t="str">
        <f>IF(A182="","",IFERROR(VLOOKUP(A182,PROFESSORES!A:B,2,FALSE),""))</f>
        <v/>
      </c>
      <c r="C182" s="12"/>
      <c r="D182" s="12"/>
      <c r="E182" s="12"/>
      <c r="F182" s="13" t="str">
        <f t="shared" si="1"/>
        <v/>
      </c>
    </row>
    <row r="183" ht="15.75" customHeight="1">
      <c r="A183" s="10"/>
      <c r="B183" s="18" t="str">
        <f>IF(A183="","",IFERROR(VLOOKUP(A183,PROFESSORES!A:B,2,FALSE),""))</f>
        <v/>
      </c>
      <c r="C183" s="10"/>
      <c r="D183" s="10"/>
      <c r="E183" s="10"/>
      <c r="F183" s="11" t="str">
        <f t="shared" si="1"/>
        <v/>
      </c>
    </row>
    <row r="184" ht="15.75" customHeight="1">
      <c r="A184" s="12"/>
      <c r="B184" s="20" t="str">
        <f>IF(A184="","",IFERROR(VLOOKUP(A184,PROFESSORES!A:B,2,FALSE),""))</f>
        <v/>
      </c>
      <c r="C184" s="12"/>
      <c r="D184" s="12"/>
      <c r="E184" s="12"/>
      <c r="F184" s="13" t="str">
        <f t="shared" si="1"/>
        <v/>
      </c>
    </row>
    <row r="185" ht="15.75" customHeight="1">
      <c r="A185" s="10"/>
      <c r="B185" s="18" t="str">
        <f>IF(A185="","",IFERROR(VLOOKUP(A185,PROFESSORES!A:B,2,FALSE),""))</f>
        <v/>
      </c>
      <c r="C185" s="10"/>
      <c r="D185" s="10"/>
      <c r="E185" s="10"/>
      <c r="F185" s="11" t="str">
        <f t="shared" si="1"/>
        <v/>
      </c>
    </row>
    <row r="186" ht="15.75" customHeight="1">
      <c r="A186" s="12"/>
      <c r="B186" s="20" t="str">
        <f>IF(A186="","",IFERROR(VLOOKUP(A186,PROFESSORES!A:B,2,FALSE),""))</f>
        <v/>
      </c>
      <c r="C186" s="12"/>
      <c r="D186" s="12"/>
      <c r="E186" s="12"/>
      <c r="F186" s="13" t="str">
        <f t="shared" si="1"/>
        <v/>
      </c>
    </row>
    <row r="187" ht="15.75" customHeight="1">
      <c r="A187" s="10"/>
      <c r="B187" s="18" t="str">
        <f>IF(A187="","",IFERROR(VLOOKUP(A187,PROFESSORES!A:B,2,FALSE),""))</f>
        <v/>
      </c>
      <c r="C187" s="10"/>
      <c r="D187" s="10"/>
      <c r="E187" s="10"/>
      <c r="F187" s="11" t="str">
        <f t="shared" si="1"/>
        <v/>
      </c>
    </row>
    <row r="188" ht="15.75" customHeight="1">
      <c r="A188" s="12"/>
      <c r="B188" s="20" t="str">
        <f>IF(A188="","",IFERROR(VLOOKUP(A188,PROFESSORES!A:B,2,FALSE),""))</f>
        <v/>
      </c>
      <c r="C188" s="12"/>
      <c r="D188" s="12"/>
      <c r="E188" s="12"/>
      <c r="F188" s="13" t="str">
        <f t="shared" si="1"/>
        <v/>
      </c>
    </row>
    <row r="189" ht="15.75" customHeight="1">
      <c r="A189" s="10"/>
      <c r="B189" s="18" t="str">
        <f>IF(A189="","",IFERROR(VLOOKUP(A189,PROFESSORES!A:B,2,FALSE),""))</f>
        <v/>
      </c>
      <c r="C189" s="10"/>
      <c r="D189" s="10"/>
      <c r="E189" s="10"/>
      <c r="F189" s="11" t="str">
        <f t="shared" si="1"/>
        <v/>
      </c>
    </row>
    <row r="190" ht="15.75" customHeight="1">
      <c r="A190" s="12"/>
      <c r="B190" s="20" t="str">
        <f>IF(A190="","",IFERROR(VLOOKUP(A190,PROFESSORES!A:B,2,FALSE),""))</f>
        <v/>
      </c>
      <c r="C190" s="12"/>
      <c r="D190" s="12"/>
      <c r="E190" s="12"/>
      <c r="F190" s="13" t="str">
        <f t="shared" si="1"/>
        <v/>
      </c>
    </row>
    <row r="191" ht="15.75" customHeight="1">
      <c r="A191" s="10"/>
      <c r="B191" s="18" t="str">
        <f>IF(A191="","",IFERROR(VLOOKUP(A191,PROFESSORES!A:B,2,FALSE),""))</f>
        <v/>
      </c>
      <c r="C191" s="10"/>
      <c r="D191" s="10"/>
      <c r="E191" s="10"/>
      <c r="F191" s="11" t="str">
        <f t="shared" si="1"/>
        <v/>
      </c>
    </row>
    <row r="192" ht="15.75" customHeight="1">
      <c r="A192" s="12"/>
      <c r="B192" s="20" t="str">
        <f>IF(A192="","",IFERROR(VLOOKUP(A192,PROFESSORES!A:B,2,FALSE),""))</f>
        <v/>
      </c>
      <c r="C192" s="12"/>
      <c r="D192" s="12"/>
      <c r="E192" s="12"/>
      <c r="F192" s="13" t="str">
        <f t="shared" si="1"/>
        <v/>
      </c>
    </row>
    <row r="193" ht="15.75" customHeight="1">
      <c r="A193" s="10"/>
      <c r="B193" s="18" t="str">
        <f>IF(A193="","",IFERROR(VLOOKUP(A193,PROFESSORES!A:B,2,FALSE),""))</f>
        <v/>
      </c>
      <c r="C193" s="10"/>
      <c r="D193" s="10"/>
      <c r="E193" s="10"/>
      <c r="F193" s="11" t="str">
        <f t="shared" si="1"/>
        <v/>
      </c>
    </row>
    <row r="194" ht="15.75" customHeight="1">
      <c r="A194" s="12"/>
      <c r="B194" s="20" t="str">
        <f>IF(A194="","",IFERROR(VLOOKUP(A194,PROFESSORES!A:B,2,FALSE),""))</f>
        <v/>
      </c>
      <c r="C194" s="12"/>
      <c r="D194" s="12"/>
      <c r="E194" s="12"/>
      <c r="F194" s="13" t="str">
        <f t="shared" si="1"/>
        <v/>
      </c>
    </row>
    <row r="195" ht="15.75" customHeight="1">
      <c r="A195" s="10"/>
      <c r="B195" s="18" t="str">
        <f>IF(A195="","",IFERROR(VLOOKUP(A195,PROFESSORES!A:B,2,FALSE),""))</f>
        <v/>
      </c>
      <c r="C195" s="10"/>
      <c r="D195" s="10"/>
      <c r="E195" s="10"/>
      <c r="F195" s="11" t="str">
        <f t="shared" si="1"/>
        <v/>
      </c>
    </row>
    <row r="196" ht="15.75" customHeight="1">
      <c r="A196" s="12"/>
      <c r="B196" s="20" t="str">
        <f>IF(A196="","",IFERROR(VLOOKUP(A196,PROFESSORES!A:B,2,FALSE),""))</f>
        <v/>
      </c>
      <c r="C196" s="12"/>
      <c r="D196" s="12"/>
      <c r="E196" s="12"/>
      <c r="F196" s="13" t="str">
        <f t="shared" si="1"/>
        <v/>
      </c>
    </row>
    <row r="197" ht="15.75" customHeight="1">
      <c r="A197" s="10"/>
      <c r="B197" s="18" t="str">
        <f>IF(A197="","",IFERROR(VLOOKUP(A197,PROFESSORES!A:B,2,FALSE),""))</f>
        <v/>
      </c>
      <c r="C197" s="10"/>
      <c r="D197" s="10"/>
      <c r="E197" s="10"/>
      <c r="F197" s="11" t="str">
        <f t="shared" si="1"/>
        <v/>
      </c>
    </row>
    <row r="198" ht="15.75" customHeight="1">
      <c r="A198" s="12"/>
      <c r="B198" s="20" t="str">
        <f>IF(A198="","",IFERROR(VLOOKUP(A198,PROFESSORES!A:B,2,FALSE),""))</f>
        <v/>
      </c>
      <c r="C198" s="12"/>
      <c r="D198" s="12"/>
      <c r="E198" s="12"/>
      <c r="F198" s="13" t="str">
        <f t="shared" si="1"/>
        <v/>
      </c>
    </row>
    <row r="199" ht="15.75" customHeight="1">
      <c r="A199" s="10"/>
      <c r="B199" s="18" t="str">
        <f>IF(A199="","",IFERROR(VLOOKUP(A199,PROFESSORES!A:B,2,FALSE),""))</f>
        <v/>
      </c>
      <c r="C199" s="10"/>
      <c r="D199" s="10"/>
      <c r="E199" s="10"/>
      <c r="F199" s="11" t="str">
        <f t="shared" si="1"/>
        <v/>
      </c>
    </row>
    <row r="200" ht="15.75" customHeight="1">
      <c r="A200" s="12"/>
      <c r="B200" s="20" t="str">
        <f>IF(A200="","",IFERROR(VLOOKUP(A200,PROFESSORES!A:B,2,FALSE),""))</f>
        <v/>
      </c>
      <c r="C200" s="12"/>
      <c r="D200" s="12"/>
      <c r="E200" s="12"/>
      <c r="F200" s="13" t="str">
        <f t="shared" si="1"/>
        <v/>
      </c>
    </row>
    <row r="201" ht="15.75" customHeight="1">
      <c r="A201" s="10"/>
      <c r="B201" s="18" t="str">
        <f>IF(A201="","",IFERROR(VLOOKUP(A201,PROFESSORES!A:B,2,FALSE),""))</f>
        <v/>
      </c>
      <c r="C201" s="10"/>
      <c r="D201" s="10"/>
      <c r="E201" s="10"/>
      <c r="F201" s="11" t="str">
        <f t="shared" si="1"/>
        <v/>
      </c>
    </row>
    <row r="202" ht="15.75" customHeight="1">
      <c r="A202" s="12"/>
      <c r="B202" s="20" t="str">
        <f>IF(A202="","",IFERROR(VLOOKUP(A202,PROFESSORES!A:B,2,FALSE),""))</f>
        <v/>
      </c>
      <c r="C202" s="12"/>
      <c r="D202" s="12"/>
      <c r="E202" s="12"/>
      <c r="F202" s="13" t="str">
        <f t="shared" si="1"/>
        <v/>
      </c>
    </row>
    <row r="203" ht="15.75" customHeight="1">
      <c r="A203" s="10"/>
      <c r="B203" s="18" t="str">
        <f>IF(A203="","",IFERROR(VLOOKUP(A203,PROFESSORES!A:B,2,FALSE),""))</f>
        <v/>
      </c>
      <c r="C203" s="10"/>
      <c r="D203" s="10"/>
      <c r="E203" s="10"/>
      <c r="F203" s="11" t="str">
        <f t="shared" si="1"/>
        <v/>
      </c>
    </row>
    <row r="204" ht="15.75" customHeight="1">
      <c r="A204" s="12"/>
      <c r="B204" s="20" t="str">
        <f>IF(A204="","",IFERROR(VLOOKUP(A204,PROFESSORES!A:B,2,FALSE),""))</f>
        <v/>
      </c>
      <c r="C204" s="12"/>
      <c r="D204" s="12"/>
      <c r="E204" s="12"/>
      <c r="F204" s="13" t="str">
        <f t="shared" si="1"/>
        <v/>
      </c>
    </row>
    <row r="205" ht="15.75" customHeight="1">
      <c r="A205" s="10"/>
      <c r="B205" s="18" t="str">
        <f>IF(A205="","",IFERROR(VLOOKUP(A205,PROFESSORES!A:B,2,FALSE),""))</f>
        <v/>
      </c>
      <c r="C205" s="10"/>
      <c r="D205" s="10"/>
      <c r="E205" s="10"/>
      <c r="F205" s="11" t="str">
        <f t="shared" si="1"/>
        <v/>
      </c>
    </row>
    <row r="206" ht="15.75" customHeight="1">
      <c r="A206" s="12"/>
      <c r="B206" s="20" t="str">
        <f>IF(A206="","",IFERROR(VLOOKUP(A206,PROFESSORES!A:B,2,FALSE),""))</f>
        <v/>
      </c>
      <c r="C206" s="12"/>
      <c r="D206" s="12"/>
      <c r="E206" s="12"/>
      <c r="F206" s="13" t="str">
        <f t="shared" si="1"/>
        <v/>
      </c>
    </row>
    <row r="207" ht="15.75" customHeight="1">
      <c r="A207" s="10"/>
      <c r="B207" s="18" t="str">
        <f>IF(A207="","",IFERROR(VLOOKUP(A207,PROFESSORES!A:B,2,FALSE),""))</f>
        <v/>
      </c>
      <c r="C207" s="10"/>
      <c r="D207" s="10"/>
      <c r="E207" s="10"/>
      <c r="F207" s="11" t="str">
        <f t="shared" si="1"/>
        <v/>
      </c>
    </row>
    <row r="208" ht="15.75" customHeight="1">
      <c r="A208" s="12"/>
      <c r="B208" s="20" t="str">
        <f>IF(A208="","",IFERROR(VLOOKUP(A208,PROFESSORES!A:B,2,FALSE),""))</f>
        <v/>
      </c>
      <c r="C208" s="12"/>
      <c r="D208" s="12"/>
      <c r="E208" s="12"/>
      <c r="F208" s="13" t="str">
        <f t="shared" si="1"/>
        <v/>
      </c>
    </row>
    <row r="209" ht="15.75" customHeight="1">
      <c r="A209" s="10"/>
      <c r="B209" s="18" t="str">
        <f>IF(A209="","",IFERROR(VLOOKUP(A209,PROFESSORES!A:B,2,FALSE),""))</f>
        <v/>
      </c>
      <c r="C209" s="10"/>
      <c r="D209" s="10"/>
      <c r="E209" s="10"/>
      <c r="F209" s="11" t="str">
        <f t="shared" si="1"/>
        <v/>
      </c>
    </row>
    <row r="210" ht="15.75" customHeight="1">
      <c r="A210" s="12"/>
      <c r="B210" s="20" t="str">
        <f>IF(A210="","",IFERROR(VLOOKUP(A210,PROFESSORES!A:B,2,FALSE),""))</f>
        <v/>
      </c>
      <c r="C210" s="12"/>
      <c r="D210" s="12"/>
      <c r="E210" s="12"/>
      <c r="F210" s="13" t="str">
        <f t="shared" si="1"/>
        <v/>
      </c>
    </row>
    <row r="211" ht="15.75" customHeight="1">
      <c r="A211" s="10"/>
      <c r="B211" s="18" t="str">
        <f>IF(A211="","",IFERROR(VLOOKUP(A211,PROFESSORES!A:B,2,FALSE),""))</f>
        <v/>
      </c>
      <c r="C211" s="10"/>
      <c r="D211" s="10"/>
      <c r="E211" s="10"/>
      <c r="F211" s="11" t="str">
        <f t="shared" si="1"/>
        <v/>
      </c>
    </row>
    <row r="212" ht="15.75" customHeight="1">
      <c r="A212" s="12"/>
      <c r="B212" s="20" t="str">
        <f>IF(A212="","",IFERROR(VLOOKUP(A212,PROFESSORES!A:B,2,FALSE),""))</f>
        <v/>
      </c>
      <c r="C212" s="12"/>
      <c r="D212" s="12"/>
      <c r="E212" s="12"/>
      <c r="F212" s="13" t="str">
        <f t="shared" si="1"/>
        <v/>
      </c>
    </row>
    <row r="213" ht="15.75" customHeight="1">
      <c r="A213" s="10"/>
      <c r="B213" s="18" t="str">
        <f>IF(A213="","",IFERROR(VLOOKUP(A213,PROFESSORES!A:B,2,FALSE),""))</f>
        <v/>
      </c>
      <c r="C213" s="10"/>
      <c r="D213" s="10"/>
      <c r="E213" s="10"/>
      <c r="F213" s="11" t="str">
        <f t="shared" si="1"/>
        <v/>
      </c>
    </row>
    <row r="214" ht="15.75" customHeight="1">
      <c r="A214" s="12"/>
      <c r="B214" s="20" t="str">
        <f>IF(A214="","",IFERROR(VLOOKUP(A214,PROFESSORES!A:B,2,FALSE),""))</f>
        <v/>
      </c>
      <c r="C214" s="12"/>
      <c r="D214" s="12"/>
      <c r="E214" s="12"/>
      <c r="F214" s="13" t="str">
        <f t="shared" si="1"/>
        <v/>
      </c>
    </row>
    <row r="215" ht="15.75" customHeight="1">
      <c r="A215" s="10"/>
      <c r="B215" s="18" t="str">
        <f>IF(A215="","",IFERROR(VLOOKUP(A215,PROFESSORES!A:B,2,FALSE),""))</f>
        <v/>
      </c>
      <c r="C215" s="10"/>
      <c r="D215" s="10"/>
      <c r="E215" s="10"/>
      <c r="F215" s="11" t="str">
        <f t="shared" si="1"/>
        <v/>
      </c>
    </row>
    <row r="216" ht="15.75" customHeight="1">
      <c r="A216" s="12"/>
      <c r="B216" s="20" t="str">
        <f>IF(A216="","",IFERROR(VLOOKUP(A216,PROFESSORES!A:B,2,FALSE),""))</f>
        <v/>
      </c>
      <c r="C216" s="12"/>
      <c r="D216" s="12"/>
      <c r="E216" s="12"/>
      <c r="F216" s="13" t="str">
        <f t="shared" si="1"/>
        <v/>
      </c>
    </row>
    <row r="217" ht="15.75" customHeight="1">
      <c r="A217" s="10"/>
      <c r="B217" s="18" t="str">
        <f>IF(A217="","",IFERROR(VLOOKUP(A217,PROFESSORES!A:B,2,FALSE),""))</f>
        <v/>
      </c>
      <c r="C217" s="10"/>
      <c r="D217" s="10"/>
      <c r="E217" s="10"/>
      <c r="F217" s="11" t="str">
        <f t="shared" si="1"/>
        <v/>
      </c>
    </row>
    <row r="218" ht="15.75" customHeight="1">
      <c r="A218" s="12"/>
      <c r="B218" s="20" t="str">
        <f>IF(A218="","",IFERROR(VLOOKUP(A218,PROFESSORES!A:B,2,FALSE),""))</f>
        <v/>
      </c>
      <c r="C218" s="12"/>
      <c r="D218" s="12"/>
      <c r="E218" s="12"/>
      <c r="F218" s="13" t="str">
        <f t="shared" si="1"/>
        <v/>
      </c>
    </row>
    <row r="219" ht="15.75" customHeight="1">
      <c r="A219" s="10"/>
      <c r="B219" s="18" t="str">
        <f>IF(A219="","",IFERROR(VLOOKUP(A219,PROFESSORES!A:B,2,FALSE),""))</f>
        <v/>
      </c>
      <c r="C219" s="10"/>
      <c r="D219" s="10"/>
      <c r="E219" s="10"/>
      <c r="F219" s="11" t="str">
        <f t="shared" si="1"/>
        <v/>
      </c>
    </row>
    <row r="220" ht="15.75" customHeight="1">
      <c r="A220" s="12"/>
      <c r="B220" s="20" t="str">
        <f>IF(A220="","",IFERROR(VLOOKUP(A220,PROFESSORES!A:B,2,FALSE),""))</f>
        <v/>
      </c>
      <c r="C220" s="12"/>
      <c r="D220" s="12"/>
      <c r="E220" s="12"/>
      <c r="F220" s="13" t="str">
        <f t="shared" si="1"/>
        <v/>
      </c>
    </row>
    <row r="221" ht="15.75" customHeight="1">
      <c r="A221" s="10"/>
      <c r="B221" s="18" t="str">
        <f>IF(A221="","",IFERROR(VLOOKUP(A221,PROFESSORES!A:B,2,FALSE),""))</f>
        <v/>
      </c>
      <c r="C221" s="10"/>
      <c r="D221" s="10"/>
      <c r="E221" s="10"/>
      <c r="F221" s="11" t="str">
        <f t="shared" si="1"/>
        <v/>
      </c>
    </row>
    <row r="222" ht="15.75" customHeight="1">
      <c r="A222" s="12"/>
      <c r="B222" s="20" t="str">
        <f>IF(A222="","",IFERROR(VLOOKUP(A222,PROFESSORES!A:B,2,FALSE),""))</f>
        <v/>
      </c>
      <c r="C222" s="12"/>
      <c r="D222" s="12"/>
      <c r="E222" s="12"/>
      <c r="F222" s="13" t="str">
        <f t="shared" si="1"/>
        <v/>
      </c>
    </row>
    <row r="223" ht="15.75" customHeight="1">
      <c r="A223" s="10"/>
      <c r="B223" s="18" t="str">
        <f>IF(A223="","",IFERROR(VLOOKUP(A223,PROFESSORES!A:B,2,FALSE),""))</f>
        <v/>
      </c>
      <c r="C223" s="10"/>
      <c r="D223" s="10"/>
      <c r="E223" s="10"/>
      <c r="F223" s="11" t="str">
        <f t="shared" si="1"/>
        <v/>
      </c>
    </row>
    <row r="224" ht="15.75" customHeight="1">
      <c r="A224" s="12"/>
      <c r="B224" s="20" t="str">
        <f>IF(A224="","",IFERROR(VLOOKUP(A224,PROFESSORES!A:B,2,FALSE),""))</f>
        <v/>
      </c>
      <c r="C224" s="12"/>
      <c r="D224" s="12"/>
      <c r="E224" s="12"/>
      <c r="F224" s="13" t="str">
        <f t="shared" si="1"/>
        <v/>
      </c>
    </row>
    <row r="225" ht="15.75" customHeight="1">
      <c r="A225" s="10"/>
      <c r="B225" s="18" t="str">
        <f>IF(A225="","",IFERROR(VLOOKUP(A225,PROFESSORES!A:B,2,FALSE),""))</f>
        <v/>
      </c>
      <c r="C225" s="10"/>
      <c r="D225" s="10"/>
      <c r="E225" s="10"/>
      <c r="F225" s="11" t="str">
        <f t="shared" si="1"/>
        <v/>
      </c>
    </row>
    <row r="226" ht="15.75" customHeight="1">
      <c r="A226" s="12"/>
      <c r="B226" s="20" t="str">
        <f>IF(A226="","",IFERROR(VLOOKUP(A226,PROFESSORES!A:B,2,FALSE),""))</f>
        <v/>
      </c>
      <c r="C226" s="12"/>
      <c r="D226" s="12"/>
      <c r="E226" s="12"/>
      <c r="F226" s="13" t="str">
        <f t="shared" si="1"/>
        <v/>
      </c>
    </row>
    <row r="227" ht="15.75" customHeight="1">
      <c r="A227" s="10"/>
      <c r="B227" s="18" t="str">
        <f>IF(A227="","",IFERROR(VLOOKUP(A227,PROFESSORES!A:B,2,FALSE),""))</f>
        <v/>
      </c>
      <c r="C227" s="10"/>
      <c r="D227" s="10"/>
      <c r="E227" s="10"/>
      <c r="F227" s="11" t="str">
        <f t="shared" si="1"/>
        <v/>
      </c>
    </row>
    <row r="228" ht="15.75" customHeight="1">
      <c r="A228" s="12"/>
      <c r="B228" s="20" t="str">
        <f>IF(A228="","",IFERROR(VLOOKUP(A228,PROFESSORES!A:B,2,FALSE),""))</f>
        <v/>
      </c>
      <c r="C228" s="12"/>
      <c r="D228" s="12"/>
      <c r="E228" s="12"/>
      <c r="F228" s="13" t="str">
        <f t="shared" si="1"/>
        <v/>
      </c>
    </row>
    <row r="229" ht="15.75" customHeight="1">
      <c r="A229" s="10"/>
      <c r="B229" s="18" t="str">
        <f>IF(A229="","",IFERROR(VLOOKUP(A229,PROFESSORES!A:B,2,FALSE),""))</f>
        <v/>
      </c>
      <c r="C229" s="10"/>
      <c r="D229" s="10"/>
      <c r="E229" s="10"/>
      <c r="F229" s="11" t="str">
        <f t="shared" si="1"/>
        <v/>
      </c>
    </row>
    <row r="230" ht="15.75" customHeight="1">
      <c r="A230" s="12"/>
      <c r="B230" s="20" t="str">
        <f>IF(A230="","",IFERROR(VLOOKUP(A230,PROFESSORES!A:B,2,FALSE),""))</f>
        <v/>
      </c>
      <c r="C230" s="12"/>
      <c r="D230" s="12"/>
      <c r="E230" s="12"/>
      <c r="F230" s="13" t="str">
        <f t="shared" si="1"/>
        <v/>
      </c>
    </row>
    <row r="231" ht="15.75" customHeight="1">
      <c r="A231" s="10"/>
      <c r="B231" s="18" t="str">
        <f>IF(A231="","",IFERROR(VLOOKUP(A231,PROFESSORES!A:B,2,FALSE),""))</f>
        <v/>
      </c>
      <c r="C231" s="10"/>
      <c r="D231" s="10"/>
      <c r="E231" s="10"/>
      <c r="F231" s="11" t="str">
        <f t="shared" si="1"/>
        <v/>
      </c>
    </row>
    <row r="232" ht="15.75" customHeight="1">
      <c r="A232" s="12"/>
      <c r="B232" s="20" t="str">
        <f>IF(A232="","",IFERROR(VLOOKUP(A232,PROFESSORES!A:B,2,FALSE),""))</f>
        <v/>
      </c>
      <c r="C232" s="12"/>
      <c r="D232" s="12"/>
      <c r="E232" s="12"/>
      <c r="F232" s="13" t="str">
        <f t="shared" si="1"/>
        <v/>
      </c>
    </row>
    <row r="233" ht="15.75" customHeight="1">
      <c r="A233" s="10"/>
      <c r="B233" s="18" t="str">
        <f>IF(A233="","",IFERROR(VLOOKUP(A233,PROFESSORES!A:B,2,FALSE),""))</f>
        <v/>
      </c>
      <c r="C233" s="10"/>
      <c r="D233" s="10"/>
      <c r="E233" s="10"/>
      <c r="F233" s="11" t="str">
        <f t="shared" si="1"/>
        <v/>
      </c>
    </row>
    <row r="234" ht="15.75" customHeight="1">
      <c r="A234" s="12"/>
      <c r="B234" s="20" t="str">
        <f>IF(A234="","",IFERROR(VLOOKUP(A234,PROFESSORES!A:B,2,FALSE),""))</f>
        <v/>
      </c>
      <c r="C234" s="12"/>
      <c r="D234" s="12"/>
      <c r="E234" s="12"/>
      <c r="F234" s="13" t="str">
        <f t="shared" si="1"/>
        <v/>
      </c>
    </row>
    <row r="235" ht="15.75" customHeight="1">
      <c r="A235" s="10"/>
      <c r="B235" s="18" t="str">
        <f>IF(A235="","",IFERROR(VLOOKUP(A235,PROFESSORES!A:B,2,FALSE),""))</f>
        <v/>
      </c>
      <c r="C235" s="10"/>
      <c r="D235" s="10"/>
      <c r="E235" s="10"/>
      <c r="F235" s="11" t="str">
        <f t="shared" si="1"/>
        <v/>
      </c>
    </row>
    <row r="236" ht="15.75" customHeight="1">
      <c r="A236" s="12"/>
      <c r="B236" s="20" t="str">
        <f>IF(A236="","",IFERROR(VLOOKUP(A236,PROFESSORES!A:B,2,FALSE),""))</f>
        <v/>
      </c>
      <c r="C236" s="12"/>
      <c r="D236" s="12"/>
      <c r="E236" s="12"/>
      <c r="F236" s="13" t="str">
        <f t="shared" si="1"/>
        <v/>
      </c>
    </row>
    <row r="237" ht="15.75" customHeight="1">
      <c r="A237" s="10"/>
      <c r="B237" s="18" t="str">
        <f>IF(A237="","",IFERROR(VLOOKUP(A237,PROFESSORES!A:B,2,FALSE),""))</f>
        <v/>
      </c>
      <c r="C237" s="10"/>
      <c r="D237" s="10"/>
      <c r="E237" s="10"/>
      <c r="F237" s="11" t="str">
        <f t="shared" si="1"/>
        <v/>
      </c>
    </row>
    <row r="238" ht="15.75" customHeight="1">
      <c r="A238" s="12"/>
      <c r="B238" s="20" t="str">
        <f>IF(A238="","",IFERROR(VLOOKUP(A238,PROFESSORES!A:B,2,FALSE),""))</f>
        <v/>
      </c>
      <c r="C238" s="12"/>
      <c r="D238" s="12"/>
      <c r="E238" s="12"/>
      <c r="F238" s="13" t="str">
        <f t="shared" si="1"/>
        <v/>
      </c>
    </row>
    <row r="239" ht="15.75" customHeight="1">
      <c r="A239" s="10"/>
      <c r="B239" s="18" t="str">
        <f>IF(A239="","",IFERROR(VLOOKUP(A239,PROFESSORES!A:B,2,FALSE),""))</f>
        <v/>
      </c>
      <c r="C239" s="10"/>
      <c r="D239" s="10"/>
      <c r="E239" s="10"/>
      <c r="F239" s="11" t="str">
        <f t="shared" si="1"/>
        <v/>
      </c>
    </row>
    <row r="240" ht="15.75" customHeight="1">
      <c r="A240" s="12"/>
      <c r="B240" s="20" t="str">
        <f>IF(A240="","",IFERROR(VLOOKUP(A240,PROFESSORES!A:B,2,FALSE),""))</f>
        <v/>
      </c>
      <c r="C240" s="12"/>
      <c r="D240" s="12"/>
      <c r="E240" s="12"/>
      <c r="F240" s="13" t="str">
        <f t="shared" si="1"/>
        <v/>
      </c>
    </row>
    <row r="241" ht="15.75" customHeight="1">
      <c r="A241" s="10"/>
      <c r="B241" s="18" t="str">
        <f>IF(A241="","",IFERROR(VLOOKUP(A241,PROFESSORES!A:B,2,FALSE),""))</f>
        <v/>
      </c>
      <c r="C241" s="10"/>
      <c r="D241" s="10"/>
      <c r="E241" s="10"/>
      <c r="F241" s="11" t="str">
        <f t="shared" si="1"/>
        <v/>
      </c>
    </row>
    <row r="242" ht="15.75" customHeight="1">
      <c r="A242" s="12"/>
      <c r="B242" s="20" t="str">
        <f>IF(A242="","",IFERROR(VLOOKUP(A242,PROFESSORES!A:B,2,FALSE),""))</f>
        <v/>
      </c>
      <c r="C242" s="12"/>
      <c r="D242" s="12"/>
      <c r="E242" s="12"/>
      <c r="F242" s="13" t="str">
        <f t="shared" si="1"/>
        <v/>
      </c>
    </row>
    <row r="243" ht="15.75" customHeight="1">
      <c r="A243" s="10"/>
      <c r="B243" s="18" t="str">
        <f>IF(A243="","",IFERROR(VLOOKUP(A243,PROFESSORES!A:B,2,FALSE),""))</f>
        <v/>
      </c>
      <c r="C243" s="10"/>
      <c r="D243" s="10"/>
      <c r="E243" s="10"/>
      <c r="F243" s="11" t="str">
        <f t="shared" si="1"/>
        <v/>
      </c>
    </row>
    <row r="244" ht="15.75" customHeight="1">
      <c r="A244" s="12"/>
      <c r="B244" s="20" t="str">
        <f>IF(A244="","",IFERROR(VLOOKUP(A244,PROFESSORES!A:B,2,FALSE),""))</f>
        <v/>
      </c>
      <c r="C244" s="12"/>
      <c r="D244" s="12"/>
      <c r="E244" s="12"/>
      <c r="F244" s="13" t="str">
        <f t="shared" si="1"/>
        <v/>
      </c>
    </row>
    <row r="245" ht="15.75" customHeight="1">
      <c r="A245" s="10"/>
      <c r="B245" s="18" t="str">
        <f>IF(A245="","",IFERROR(VLOOKUP(A245,PROFESSORES!A:B,2,FALSE),""))</f>
        <v/>
      </c>
      <c r="C245" s="10"/>
      <c r="D245" s="10"/>
      <c r="E245" s="10"/>
      <c r="F245" s="11" t="str">
        <f t="shared" si="1"/>
        <v/>
      </c>
    </row>
    <row r="246" ht="15.75" customHeight="1">
      <c r="A246" s="12"/>
      <c r="B246" s="20" t="str">
        <f>IF(A246="","",IFERROR(VLOOKUP(A246,PROFESSORES!A:B,2,FALSE),""))</f>
        <v/>
      </c>
      <c r="C246" s="12"/>
      <c r="D246" s="12"/>
      <c r="E246" s="12"/>
      <c r="F246" s="13" t="str">
        <f t="shared" si="1"/>
        <v/>
      </c>
    </row>
    <row r="247" ht="15.75" customHeight="1">
      <c r="A247" s="10"/>
      <c r="B247" s="18" t="str">
        <f>IF(A247="","",IFERROR(VLOOKUP(A247,PROFESSORES!A:B,2,FALSE),""))</f>
        <v/>
      </c>
      <c r="C247" s="10"/>
      <c r="D247" s="10"/>
      <c r="E247" s="10"/>
      <c r="F247" s="11" t="str">
        <f t="shared" si="1"/>
        <v/>
      </c>
    </row>
    <row r="248" ht="15.75" customHeight="1">
      <c r="A248" s="12"/>
      <c r="B248" s="20" t="str">
        <f>IF(A248="","",IFERROR(VLOOKUP(A248,PROFESSORES!A:B,2,FALSE),""))</f>
        <v/>
      </c>
      <c r="C248" s="12"/>
      <c r="D248" s="12"/>
      <c r="E248" s="12"/>
      <c r="F248" s="13" t="str">
        <f t="shared" si="1"/>
        <v/>
      </c>
    </row>
    <row r="249" ht="15.75" customHeight="1">
      <c r="A249" s="10"/>
      <c r="B249" s="18" t="str">
        <f>IF(A249="","",IFERROR(VLOOKUP(A249,PROFESSORES!A:B,2,FALSE),""))</f>
        <v/>
      </c>
      <c r="C249" s="10"/>
      <c r="D249" s="10"/>
      <c r="E249" s="10"/>
      <c r="F249" s="11" t="str">
        <f t="shared" si="1"/>
        <v/>
      </c>
    </row>
    <row r="250" ht="15.75" customHeight="1">
      <c r="A250" s="12"/>
      <c r="B250" s="20" t="str">
        <f>IF(A250="","",IFERROR(VLOOKUP(A250,PROFESSORES!A:B,2,FALSE),""))</f>
        <v/>
      </c>
      <c r="C250" s="12"/>
      <c r="D250" s="12"/>
      <c r="E250" s="12"/>
      <c r="F250" s="13" t="str">
        <f t="shared" si="1"/>
        <v/>
      </c>
    </row>
    <row r="251" ht="15.75" customHeight="1">
      <c r="A251" s="10"/>
      <c r="B251" s="18" t="str">
        <f>IF(A251="","",IFERROR(VLOOKUP(A251,PROFESSORES!A:B,2,FALSE),""))</f>
        <v/>
      </c>
      <c r="C251" s="10"/>
      <c r="D251" s="10"/>
      <c r="E251" s="10"/>
      <c r="F251" s="11" t="str">
        <f t="shared" si="1"/>
        <v/>
      </c>
    </row>
    <row r="252" ht="15.75" customHeight="1">
      <c r="A252" s="12"/>
      <c r="B252" s="20" t="str">
        <f>IF(A252="","",IFERROR(VLOOKUP(A252,PROFESSORES!A:B,2,FALSE),""))</f>
        <v/>
      </c>
      <c r="C252" s="12"/>
      <c r="D252" s="12"/>
      <c r="E252" s="12"/>
      <c r="F252" s="13" t="str">
        <f t="shared" si="1"/>
        <v/>
      </c>
    </row>
    <row r="253" ht="15.75" customHeight="1">
      <c r="A253" s="10"/>
      <c r="B253" s="18" t="str">
        <f>IF(A253="","",IFERROR(VLOOKUP(A253,PROFESSORES!A:B,2,FALSE),""))</f>
        <v/>
      </c>
      <c r="C253" s="10"/>
      <c r="D253" s="10"/>
      <c r="E253" s="10"/>
      <c r="F253" s="11" t="str">
        <f t="shared" si="1"/>
        <v/>
      </c>
    </row>
    <row r="254" ht="15.75" customHeight="1">
      <c r="A254" s="12"/>
      <c r="B254" s="20" t="str">
        <f>IF(A254="","",IFERROR(VLOOKUP(A254,PROFESSORES!A:B,2,FALSE),""))</f>
        <v/>
      </c>
      <c r="C254" s="12"/>
      <c r="D254" s="12"/>
      <c r="E254" s="12"/>
      <c r="F254" s="13" t="str">
        <f t="shared" si="1"/>
        <v/>
      </c>
    </row>
    <row r="255" ht="15.75" customHeight="1">
      <c r="A255" s="10"/>
      <c r="B255" s="18" t="str">
        <f>IF(A255="","",IFERROR(VLOOKUP(A255,PROFESSORES!A:B,2,FALSE),""))</f>
        <v/>
      </c>
      <c r="C255" s="10"/>
      <c r="D255" s="10"/>
      <c r="E255" s="10"/>
      <c r="F255" s="11" t="str">
        <f t="shared" si="1"/>
        <v/>
      </c>
    </row>
    <row r="256" ht="15.75" customHeight="1">
      <c r="A256" s="12"/>
      <c r="B256" s="20" t="str">
        <f>IF(A256="","",IFERROR(VLOOKUP(A256,PROFESSORES!A:B,2,FALSE),""))</f>
        <v/>
      </c>
      <c r="C256" s="12"/>
      <c r="D256" s="12"/>
      <c r="E256" s="12"/>
      <c r="F256" s="13" t="str">
        <f t="shared" si="1"/>
        <v/>
      </c>
    </row>
    <row r="257" ht="15.75" customHeight="1">
      <c r="A257" s="10"/>
      <c r="B257" s="18" t="str">
        <f>IF(A257="","",IFERROR(VLOOKUP(A257,PROFESSORES!A:B,2,FALSE),""))</f>
        <v/>
      </c>
      <c r="C257" s="10"/>
      <c r="D257" s="10"/>
      <c r="E257" s="10"/>
      <c r="F257" s="11" t="str">
        <f t="shared" si="1"/>
        <v/>
      </c>
    </row>
    <row r="258" ht="15.75" customHeight="1">
      <c r="A258" s="12"/>
      <c r="B258" s="20" t="str">
        <f>IF(A258="","",IFERROR(VLOOKUP(A258,PROFESSORES!A:B,2,FALSE),""))</f>
        <v/>
      </c>
      <c r="C258" s="12"/>
      <c r="D258" s="12"/>
      <c r="E258" s="12"/>
      <c r="F258" s="13" t="str">
        <f t="shared" si="1"/>
        <v/>
      </c>
    </row>
    <row r="259" ht="15.75" customHeight="1">
      <c r="A259" s="10"/>
      <c r="B259" s="18" t="str">
        <f>IF(A259="","",IFERROR(VLOOKUP(A259,PROFESSORES!A:B,2,FALSE),""))</f>
        <v/>
      </c>
      <c r="C259" s="10"/>
      <c r="D259" s="10"/>
      <c r="E259" s="10"/>
      <c r="F259" s="11" t="str">
        <f t="shared" si="1"/>
        <v/>
      </c>
    </row>
    <row r="260" ht="15.75" customHeight="1">
      <c r="A260" s="12"/>
      <c r="B260" s="20" t="str">
        <f>IF(A260="","",IFERROR(VLOOKUP(A260,PROFESSORES!A:B,2,FALSE),""))</f>
        <v/>
      </c>
      <c r="C260" s="12"/>
      <c r="D260" s="12"/>
      <c r="E260" s="12"/>
      <c r="F260" s="13" t="str">
        <f t="shared" si="1"/>
        <v/>
      </c>
    </row>
    <row r="261" ht="15.75" customHeight="1">
      <c r="A261" s="10"/>
      <c r="B261" s="18" t="str">
        <f>IF(A261="","",IFERROR(VLOOKUP(A261,PROFESSORES!A:B,2,FALSE),""))</f>
        <v/>
      </c>
      <c r="C261" s="10"/>
      <c r="D261" s="10"/>
      <c r="E261" s="10"/>
      <c r="F261" s="11" t="str">
        <f t="shared" si="1"/>
        <v/>
      </c>
    </row>
    <row r="262" ht="15.75" customHeight="1">
      <c r="A262" s="12"/>
      <c r="B262" s="20" t="str">
        <f>IF(A262="","",IFERROR(VLOOKUP(A262,PROFESSORES!A:B,2,FALSE),""))</f>
        <v/>
      </c>
      <c r="C262" s="12"/>
      <c r="D262" s="12"/>
      <c r="E262" s="12"/>
      <c r="F262" s="13" t="str">
        <f t="shared" si="1"/>
        <v/>
      </c>
    </row>
    <row r="263" ht="15.75" customHeight="1">
      <c r="A263" s="10"/>
      <c r="B263" s="18" t="str">
        <f>IF(A263="","",IFERROR(VLOOKUP(A263,PROFESSORES!A:B,2,FALSE),""))</f>
        <v/>
      </c>
      <c r="C263" s="10"/>
      <c r="D263" s="10"/>
      <c r="E263" s="10"/>
      <c r="F263" s="11" t="str">
        <f t="shared" si="1"/>
        <v/>
      </c>
    </row>
    <row r="264" ht="15.75" customHeight="1">
      <c r="A264" s="12"/>
      <c r="B264" s="20" t="str">
        <f>IF(A264="","",IFERROR(VLOOKUP(A264,PROFESSORES!A:B,2,FALSE),""))</f>
        <v/>
      </c>
      <c r="C264" s="12"/>
      <c r="D264" s="12"/>
      <c r="E264" s="12"/>
      <c r="F264" s="13" t="str">
        <f t="shared" si="1"/>
        <v/>
      </c>
    </row>
    <row r="265" ht="15.75" customHeight="1">
      <c r="A265" s="10"/>
      <c r="B265" s="18" t="str">
        <f>IF(A265="","",IFERROR(VLOOKUP(A265,PROFESSORES!A:B,2,FALSE),""))</f>
        <v/>
      </c>
      <c r="C265" s="10"/>
      <c r="D265" s="10"/>
      <c r="E265" s="10"/>
      <c r="F265" s="11" t="str">
        <f t="shared" si="1"/>
        <v/>
      </c>
    </row>
    <row r="266" ht="15.75" customHeight="1">
      <c r="A266" s="12"/>
      <c r="B266" s="20" t="str">
        <f>IF(A266="","",IFERROR(VLOOKUP(A266,PROFESSORES!A:B,2,FALSE),""))</f>
        <v/>
      </c>
      <c r="C266" s="12"/>
      <c r="D266" s="12"/>
      <c r="E266" s="12"/>
      <c r="F266" s="13" t="str">
        <f t="shared" si="1"/>
        <v/>
      </c>
    </row>
    <row r="267" ht="15.75" customHeight="1">
      <c r="A267" s="10"/>
      <c r="B267" s="18" t="str">
        <f>IF(A267="","",IFERROR(VLOOKUP(A267,PROFESSORES!A:B,2,FALSE),""))</f>
        <v/>
      </c>
      <c r="C267" s="10"/>
      <c r="D267" s="10"/>
      <c r="E267" s="10"/>
      <c r="F267" s="11" t="str">
        <f t="shared" si="1"/>
        <v/>
      </c>
    </row>
    <row r="268" ht="15.75" customHeight="1">
      <c r="A268" s="12"/>
      <c r="B268" s="20" t="str">
        <f>IF(A268="","",IFERROR(VLOOKUP(A268,PROFESSORES!A:B,2,FALSE),""))</f>
        <v/>
      </c>
      <c r="C268" s="12"/>
      <c r="D268" s="12"/>
      <c r="E268" s="12"/>
      <c r="F268" s="13" t="str">
        <f t="shared" si="1"/>
        <v/>
      </c>
    </row>
    <row r="269" ht="15.75" customHeight="1">
      <c r="A269" s="10"/>
      <c r="B269" s="18" t="str">
        <f>IF(A269="","",IFERROR(VLOOKUP(A269,PROFESSORES!A:B,2,FALSE),""))</f>
        <v/>
      </c>
      <c r="C269" s="10"/>
      <c r="D269" s="10"/>
      <c r="E269" s="10"/>
      <c r="F269" s="11" t="str">
        <f t="shared" si="1"/>
        <v/>
      </c>
    </row>
    <row r="270" ht="15.75" customHeight="1">
      <c r="A270" s="12"/>
      <c r="B270" s="20" t="str">
        <f>IF(A270="","",IFERROR(VLOOKUP(A270,PROFESSORES!A:B,2,FALSE),""))</f>
        <v/>
      </c>
      <c r="C270" s="12"/>
      <c r="D270" s="12"/>
      <c r="E270" s="12"/>
      <c r="F270" s="13" t="str">
        <f t="shared" si="1"/>
        <v/>
      </c>
    </row>
    <row r="271" ht="15.75" customHeight="1">
      <c r="A271" s="10"/>
      <c r="B271" s="18" t="str">
        <f>IF(A271="","",IFERROR(VLOOKUP(A271,PROFESSORES!A:B,2,FALSE),""))</f>
        <v/>
      </c>
      <c r="C271" s="10"/>
      <c r="D271" s="10"/>
      <c r="E271" s="10"/>
      <c r="F271" s="11" t="str">
        <f t="shared" si="1"/>
        <v/>
      </c>
    </row>
    <row r="272" ht="15.75" customHeight="1">
      <c r="A272" s="12"/>
      <c r="B272" s="20" t="str">
        <f>IF(A272="","",IFERROR(VLOOKUP(A272,PROFESSORES!A:B,2,FALSE),""))</f>
        <v/>
      </c>
      <c r="C272" s="12"/>
      <c r="D272" s="12"/>
      <c r="E272" s="12"/>
      <c r="F272" s="13" t="str">
        <f t="shared" si="1"/>
        <v/>
      </c>
    </row>
    <row r="273" ht="15.75" customHeight="1">
      <c r="A273" s="10"/>
      <c r="B273" s="18" t="str">
        <f>IF(A273="","",IFERROR(VLOOKUP(A273,PROFESSORES!A:B,2,FALSE),""))</f>
        <v/>
      </c>
      <c r="C273" s="10"/>
      <c r="D273" s="10"/>
      <c r="E273" s="10"/>
      <c r="F273" s="11" t="str">
        <f t="shared" si="1"/>
        <v/>
      </c>
    </row>
    <row r="274" ht="15.75" customHeight="1">
      <c r="A274" s="12"/>
      <c r="B274" s="20" t="str">
        <f>IF(A274="","",IFERROR(VLOOKUP(A274,PROFESSORES!A:B,2,FALSE),""))</f>
        <v/>
      </c>
      <c r="C274" s="12"/>
      <c r="D274" s="12"/>
      <c r="E274" s="12"/>
      <c r="F274" s="13" t="str">
        <f t="shared" si="1"/>
        <v/>
      </c>
    </row>
    <row r="275" ht="15.75" customHeight="1">
      <c r="A275" s="10"/>
      <c r="B275" s="18" t="str">
        <f>IF(A275="","",IFERROR(VLOOKUP(A275,PROFESSORES!A:B,2,FALSE),""))</f>
        <v/>
      </c>
      <c r="C275" s="10"/>
      <c r="D275" s="10"/>
      <c r="E275" s="10"/>
      <c r="F275" s="11" t="str">
        <f t="shared" si="1"/>
        <v/>
      </c>
    </row>
    <row r="276" ht="15.75" customHeight="1">
      <c r="A276" s="12"/>
      <c r="B276" s="20" t="str">
        <f>IF(A276="","",IFERROR(VLOOKUP(A276,PROFESSORES!A:B,2,FALSE),""))</f>
        <v/>
      </c>
      <c r="C276" s="12"/>
      <c r="D276" s="12"/>
      <c r="E276" s="12"/>
      <c r="F276" s="13" t="str">
        <f t="shared" si="1"/>
        <v/>
      </c>
    </row>
    <row r="277" ht="15.75" customHeight="1">
      <c r="A277" s="10"/>
      <c r="B277" s="18" t="str">
        <f>IF(A277="","",IFERROR(VLOOKUP(A277,PROFESSORES!A:B,2,FALSE),""))</f>
        <v/>
      </c>
      <c r="C277" s="10"/>
      <c r="D277" s="10"/>
      <c r="E277" s="10"/>
      <c r="F277" s="11" t="str">
        <f t="shared" si="1"/>
        <v/>
      </c>
    </row>
    <row r="278" ht="15.75" customHeight="1">
      <c r="A278" s="12"/>
      <c r="B278" s="20" t="str">
        <f>IF(A278="","",IFERROR(VLOOKUP(A278,PROFESSORES!A:B,2,FALSE),""))</f>
        <v/>
      </c>
      <c r="C278" s="12"/>
      <c r="D278" s="12"/>
      <c r="E278" s="12"/>
      <c r="F278" s="13" t="str">
        <f t="shared" si="1"/>
        <v/>
      </c>
    </row>
    <row r="279" ht="15.75" customHeight="1">
      <c r="A279" s="10"/>
      <c r="B279" s="18" t="str">
        <f>IF(A279="","",IFERROR(VLOOKUP(A279,PROFESSORES!A:B,2,FALSE),""))</f>
        <v/>
      </c>
      <c r="C279" s="10"/>
      <c r="D279" s="10"/>
      <c r="E279" s="10"/>
      <c r="F279" s="11" t="str">
        <f t="shared" si="1"/>
        <v/>
      </c>
    </row>
    <row r="280" ht="15.75" customHeight="1">
      <c r="A280" s="12"/>
      <c r="B280" s="20" t="str">
        <f>IF(A280="","",IFERROR(VLOOKUP(A280,PROFESSORES!A:B,2,FALSE),""))</f>
        <v/>
      </c>
      <c r="C280" s="12"/>
      <c r="D280" s="12"/>
      <c r="E280" s="12"/>
      <c r="F280" s="13" t="str">
        <f t="shared" si="1"/>
        <v/>
      </c>
    </row>
    <row r="281" ht="15.75" customHeight="1">
      <c r="A281" s="10"/>
      <c r="B281" s="18" t="str">
        <f>IF(A281="","",IFERROR(VLOOKUP(A281,PROFESSORES!A:B,2,FALSE),""))</f>
        <v/>
      </c>
      <c r="C281" s="10"/>
      <c r="D281" s="10"/>
      <c r="E281" s="10"/>
      <c r="F281" s="11" t="str">
        <f t="shared" si="1"/>
        <v/>
      </c>
    </row>
    <row r="282" ht="15.75" customHeight="1">
      <c r="A282" s="12"/>
      <c r="B282" s="20" t="str">
        <f>IF(A282="","",IFERROR(VLOOKUP(A282,PROFESSORES!A:B,2,FALSE),""))</f>
        <v/>
      </c>
      <c r="C282" s="12"/>
      <c r="D282" s="12"/>
      <c r="E282" s="12"/>
      <c r="F282" s="13" t="str">
        <f t="shared" si="1"/>
        <v/>
      </c>
    </row>
    <row r="283" ht="15.75" customHeight="1">
      <c r="A283" s="10"/>
      <c r="B283" s="18" t="str">
        <f>IF(A283="","",IFERROR(VLOOKUP(A283,PROFESSORES!A:B,2,FALSE),""))</f>
        <v/>
      </c>
      <c r="C283" s="10"/>
      <c r="D283" s="10"/>
      <c r="E283" s="10"/>
      <c r="F283" s="11" t="str">
        <f t="shared" si="1"/>
        <v/>
      </c>
    </row>
    <row r="284" ht="15.75" customHeight="1">
      <c r="A284" s="12"/>
      <c r="B284" s="20" t="str">
        <f>IF(A284="","",IFERROR(VLOOKUP(A284,PROFESSORES!A:B,2,FALSE),""))</f>
        <v/>
      </c>
      <c r="C284" s="12"/>
      <c r="D284" s="12"/>
      <c r="E284" s="12"/>
      <c r="F284" s="13" t="str">
        <f t="shared" si="1"/>
        <v/>
      </c>
    </row>
    <row r="285" ht="15.75" customHeight="1">
      <c r="A285" s="10"/>
      <c r="B285" s="18" t="str">
        <f>IF(A285="","",IFERROR(VLOOKUP(A285,PROFESSORES!A:B,2,FALSE),""))</f>
        <v/>
      </c>
      <c r="C285" s="10"/>
      <c r="D285" s="10"/>
      <c r="E285" s="10"/>
      <c r="F285" s="11" t="str">
        <f t="shared" si="1"/>
        <v/>
      </c>
    </row>
    <row r="286" ht="15.75" customHeight="1">
      <c r="A286" s="12"/>
      <c r="B286" s="20" t="str">
        <f>IF(A286="","",IFERROR(VLOOKUP(A286,PROFESSORES!A:B,2,FALSE),""))</f>
        <v/>
      </c>
      <c r="C286" s="12"/>
      <c r="D286" s="12"/>
      <c r="E286" s="12"/>
      <c r="F286" s="13" t="str">
        <f t="shared" si="1"/>
        <v/>
      </c>
    </row>
    <row r="287" ht="15.75" customHeight="1">
      <c r="A287" s="10"/>
      <c r="B287" s="18" t="str">
        <f>IF(A287="","",IFERROR(VLOOKUP(A287,PROFESSORES!A:B,2,FALSE),""))</f>
        <v/>
      </c>
      <c r="C287" s="10"/>
      <c r="D287" s="10"/>
      <c r="E287" s="10"/>
      <c r="F287" s="11" t="str">
        <f t="shared" si="1"/>
        <v/>
      </c>
    </row>
    <row r="288" ht="15.75" customHeight="1">
      <c r="A288" s="12"/>
      <c r="B288" s="20" t="str">
        <f>IF(A288="","",IFERROR(VLOOKUP(A288,PROFESSORES!A:B,2,FALSE),""))</f>
        <v/>
      </c>
      <c r="C288" s="12"/>
      <c r="D288" s="12"/>
      <c r="E288" s="12"/>
      <c r="F288" s="13" t="str">
        <f t="shared" si="1"/>
        <v/>
      </c>
    </row>
    <row r="289" ht="15.75" customHeight="1">
      <c r="A289" s="10"/>
      <c r="B289" s="18" t="str">
        <f>IF(A289="","",IFERROR(VLOOKUP(A289,PROFESSORES!A:B,2,FALSE),""))</f>
        <v/>
      </c>
      <c r="C289" s="10"/>
      <c r="D289" s="10"/>
      <c r="E289" s="10"/>
      <c r="F289" s="11" t="str">
        <f t="shared" si="1"/>
        <v/>
      </c>
    </row>
    <row r="290" ht="15.75" customHeight="1">
      <c r="A290" s="12"/>
      <c r="B290" s="20" t="str">
        <f>IF(A290="","",IFERROR(VLOOKUP(A290,PROFESSORES!A:B,2,FALSE),""))</f>
        <v/>
      </c>
      <c r="C290" s="12"/>
      <c r="D290" s="12"/>
      <c r="E290" s="12"/>
      <c r="F290" s="13" t="str">
        <f t="shared" si="1"/>
        <v/>
      </c>
    </row>
    <row r="291" ht="15.75" customHeight="1">
      <c r="A291" s="10"/>
      <c r="B291" s="18" t="str">
        <f>IF(A291="","",IFERROR(VLOOKUP(A291,PROFESSORES!A:B,2,FALSE),""))</f>
        <v/>
      </c>
      <c r="C291" s="10"/>
      <c r="D291" s="10"/>
      <c r="E291" s="10"/>
      <c r="F291" s="11" t="str">
        <f t="shared" si="1"/>
        <v/>
      </c>
    </row>
    <row r="292" ht="15.75" customHeight="1">
      <c r="A292" s="12"/>
      <c r="B292" s="20" t="str">
        <f>IF(A292="","",IFERROR(VLOOKUP(A292,PROFESSORES!A:B,2,FALSE),""))</f>
        <v/>
      </c>
      <c r="C292" s="12"/>
      <c r="D292" s="12"/>
      <c r="E292" s="12"/>
      <c r="F292" s="13" t="str">
        <f t="shared" si="1"/>
        <v/>
      </c>
    </row>
    <row r="293" ht="15.75" customHeight="1">
      <c r="A293" s="10"/>
      <c r="B293" s="18" t="str">
        <f>IF(A293="","",IFERROR(VLOOKUP(A293,PROFESSORES!A:B,2,FALSE),""))</f>
        <v/>
      </c>
      <c r="C293" s="10"/>
      <c r="D293" s="10"/>
      <c r="E293" s="10"/>
      <c r="F293" s="11" t="str">
        <f t="shared" si="1"/>
        <v/>
      </c>
    </row>
    <row r="294" ht="15.75" customHeight="1">
      <c r="A294" s="12"/>
      <c r="B294" s="20" t="str">
        <f>IF(A294="","",IFERROR(VLOOKUP(A294,PROFESSORES!A:B,2,FALSE),""))</f>
        <v/>
      </c>
      <c r="C294" s="12"/>
      <c r="D294" s="12"/>
      <c r="E294" s="12"/>
      <c r="F294" s="13" t="str">
        <f t="shared" si="1"/>
        <v/>
      </c>
    </row>
    <row r="295" ht="15.75" customHeight="1">
      <c r="A295" s="10"/>
      <c r="B295" s="18" t="str">
        <f>IF(A295="","",IFERROR(VLOOKUP(A295,PROFESSORES!A:B,2,FALSE),""))</f>
        <v/>
      </c>
      <c r="C295" s="10"/>
      <c r="D295" s="10"/>
      <c r="E295" s="10"/>
      <c r="F295" s="11" t="str">
        <f t="shared" si="1"/>
        <v/>
      </c>
    </row>
    <row r="296" ht="15.75" customHeight="1">
      <c r="A296" s="12"/>
      <c r="B296" s="20" t="str">
        <f>IF(A296="","",IFERROR(VLOOKUP(A296,PROFESSORES!A:B,2,FALSE),""))</f>
        <v/>
      </c>
      <c r="C296" s="12"/>
      <c r="D296" s="12"/>
      <c r="E296" s="12"/>
      <c r="F296" s="13" t="str">
        <f t="shared" si="1"/>
        <v/>
      </c>
    </row>
    <row r="297" ht="15.75" customHeight="1">
      <c r="A297" s="10"/>
      <c r="B297" s="18" t="str">
        <f>IF(A297="","",IFERROR(VLOOKUP(A297,PROFESSORES!A:B,2,FALSE),""))</f>
        <v/>
      </c>
      <c r="C297" s="10"/>
      <c r="D297" s="10"/>
      <c r="E297" s="10"/>
      <c r="F297" s="11" t="str">
        <f t="shared" si="1"/>
        <v/>
      </c>
    </row>
    <row r="298" ht="15.75" customHeight="1">
      <c r="A298" s="12"/>
      <c r="B298" s="20" t="str">
        <f>IF(A298="","",IFERROR(VLOOKUP(A298,PROFESSORES!A:B,2,FALSE),""))</f>
        <v/>
      </c>
      <c r="C298" s="12"/>
      <c r="D298" s="12"/>
      <c r="E298" s="12"/>
      <c r="F298" s="13" t="str">
        <f t="shared" si="1"/>
        <v/>
      </c>
    </row>
    <row r="299" ht="15.75" customHeight="1">
      <c r="A299" s="10"/>
      <c r="B299" s="18" t="str">
        <f>IF(A299="","",IFERROR(VLOOKUP(A299,PROFESSORES!A:B,2,FALSE),""))</f>
        <v/>
      </c>
      <c r="C299" s="10"/>
      <c r="D299" s="10"/>
      <c r="E299" s="10"/>
      <c r="F299" s="11" t="str">
        <f t="shared" si="1"/>
        <v/>
      </c>
    </row>
    <row r="300" ht="15.75" customHeight="1">
      <c r="A300" s="12"/>
      <c r="B300" s="20" t="str">
        <f>IF(A300="","",IFERROR(VLOOKUP(A300,PROFESSORES!A:B,2,FALSE),""))</f>
        <v/>
      </c>
      <c r="C300" s="12"/>
      <c r="D300" s="12"/>
      <c r="E300" s="12"/>
      <c r="F300" s="13" t="str">
        <f t="shared" si="1"/>
        <v/>
      </c>
    </row>
    <row r="301" ht="15.75" customHeight="1">
      <c r="A301" s="10"/>
      <c r="B301" s="18" t="str">
        <f>IF(A301="","",IFERROR(VLOOKUP(A301,PROFESSORES!A:B,2,FALSE),""))</f>
        <v/>
      </c>
      <c r="C301" s="10"/>
      <c r="D301" s="10"/>
      <c r="E301" s="10"/>
      <c r="F301" s="11" t="str">
        <f t="shared" si="1"/>
        <v/>
      </c>
    </row>
    <row r="302" ht="15.75" customHeight="1">
      <c r="A302" s="12"/>
      <c r="B302" s="20" t="str">
        <f>IF(A302="","",IFERROR(VLOOKUP(A302,PROFESSORES!A:B,2,FALSE),""))</f>
        <v/>
      </c>
      <c r="C302" s="12"/>
      <c r="D302" s="12"/>
      <c r="E302" s="12"/>
      <c r="F302" s="13" t="str">
        <f t="shared" si="1"/>
        <v/>
      </c>
    </row>
    <row r="303" ht="15.75" customHeight="1">
      <c r="A303" s="10"/>
      <c r="B303" s="18" t="str">
        <f>IF(A303="","",IFERROR(VLOOKUP(A303,PROFESSORES!A:B,2,FALSE),""))</f>
        <v/>
      </c>
      <c r="C303" s="10"/>
      <c r="D303" s="10"/>
      <c r="E303" s="10"/>
      <c r="F303" s="11" t="str">
        <f t="shared" si="1"/>
        <v/>
      </c>
    </row>
    <row r="304" ht="15.75" customHeight="1">
      <c r="A304" s="12"/>
      <c r="B304" s="20" t="str">
        <f>IF(A304="","",IFERROR(VLOOKUP(A304,PROFESSORES!A:B,2,FALSE),""))</f>
        <v/>
      </c>
      <c r="C304" s="12"/>
      <c r="D304" s="12"/>
      <c r="E304" s="12"/>
      <c r="F304" s="13" t="str">
        <f t="shared" si="1"/>
        <v/>
      </c>
    </row>
    <row r="305" ht="15.75" customHeight="1">
      <c r="A305" s="10"/>
      <c r="B305" s="18" t="str">
        <f>IF(A305="","",IFERROR(VLOOKUP(A305,PROFESSORES!A:B,2,FALSE),""))</f>
        <v/>
      </c>
      <c r="C305" s="10"/>
      <c r="D305" s="10"/>
      <c r="E305" s="10"/>
      <c r="F305" s="11" t="str">
        <f t="shared" si="1"/>
        <v/>
      </c>
    </row>
    <row r="306" ht="15.75" customHeight="1">
      <c r="A306" s="12"/>
      <c r="B306" s="20" t="str">
        <f>IF(A306="","",IFERROR(VLOOKUP(A306,PROFESSORES!A:B,2,FALSE),""))</f>
        <v/>
      </c>
      <c r="C306" s="12"/>
      <c r="D306" s="12"/>
      <c r="E306" s="12"/>
      <c r="F306" s="13" t="str">
        <f t="shared" si="1"/>
        <v/>
      </c>
    </row>
    <row r="307" ht="15.75" customHeight="1">
      <c r="A307" s="10"/>
      <c r="B307" s="18" t="str">
        <f>IF(A307="","",IFERROR(VLOOKUP(A307,PROFESSORES!A:B,2,FALSE),""))</f>
        <v/>
      </c>
      <c r="C307" s="10"/>
      <c r="D307" s="10"/>
      <c r="E307" s="10"/>
      <c r="F307" s="11" t="str">
        <f t="shared" si="1"/>
        <v/>
      </c>
    </row>
    <row r="308" ht="15.75" customHeight="1">
      <c r="A308" s="12"/>
      <c r="B308" s="20" t="str">
        <f>IF(A308="","",IFERROR(VLOOKUP(A308,PROFESSORES!A:B,2,FALSE),""))</f>
        <v/>
      </c>
      <c r="C308" s="12"/>
      <c r="D308" s="12"/>
      <c r="E308" s="12"/>
      <c r="F308" s="13" t="str">
        <f t="shared" si="1"/>
        <v/>
      </c>
    </row>
    <row r="309" ht="15.75" customHeight="1">
      <c r="A309" s="10"/>
      <c r="B309" s="18" t="str">
        <f>IF(A309="","",IFERROR(VLOOKUP(A309,PROFESSORES!A:B,2,FALSE),""))</f>
        <v/>
      </c>
      <c r="C309" s="10"/>
      <c r="D309" s="10"/>
      <c r="E309" s="10"/>
      <c r="F309" s="11" t="str">
        <f t="shared" si="1"/>
        <v/>
      </c>
    </row>
    <row r="310" ht="15.75" customHeight="1">
      <c r="A310" s="12"/>
      <c r="B310" s="20" t="str">
        <f>IF(A310="","",IFERROR(VLOOKUP(A310,PROFESSORES!A:B,2,FALSE),""))</f>
        <v/>
      </c>
      <c r="C310" s="12"/>
      <c r="D310" s="12"/>
      <c r="E310" s="12"/>
      <c r="F310" s="13" t="str">
        <f t="shared" si="1"/>
        <v/>
      </c>
    </row>
    <row r="311" ht="15.75" customHeight="1">
      <c r="A311" s="10"/>
      <c r="B311" s="18" t="str">
        <f>IF(A311="","",IFERROR(VLOOKUP(A311,PROFESSORES!A:B,2,FALSE),""))</f>
        <v/>
      </c>
      <c r="C311" s="10"/>
      <c r="D311" s="10"/>
      <c r="E311" s="10"/>
      <c r="F311" s="11" t="str">
        <f t="shared" si="1"/>
        <v/>
      </c>
    </row>
    <row r="312" ht="15.75" customHeight="1">
      <c r="A312" s="12"/>
      <c r="B312" s="20" t="str">
        <f>IF(A312="","",IFERROR(VLOOKUP(A312,PROFESSORES!A:B,2,FALSE),""))</f>
        <v/>
      </c>
      <c r="C312" s="12"/>
      <c r="D312" s="12"/>
      <c r="E312" s="12"/>
      <c r="F312" s="13" t="str">
        <f t="shared" si="1"/>
        <v/>
      </c>
    </row>
    <row r="313" ht="15.75" customHeight="1">
      <c r="A313" s="10"/>
      <c r="B313" s="18" t="str">
        <f>IF(A313="","",IFERROR(VLOOKUP(A313,PROFESSORES!A:B,2,FALSE),""))</f>
        <v/>
      </c>
      <c r="C313" s="10"/>
      <c r="D313" s="10"/>
      <c r="E313" s="10"/>
      <c r="F313" s="11" t="str">
        <f t="shared" si="1"/>
        <v/>
      </c>
    </row>
    <row r="314" ht="15.75" customHeight="1">
      <c r="A314" s="12"/>
      <c r="B314" s="20" t="str">
        <f>IF(A314="","",IFERROR(VLOOKUP(A314,PROFESSORES!A:B,2,FALSE),""))</f>
        <v/>
      </c>
      <c r="C314" s="12"/>
      <c r="D314" s="12"/>
      <c r="E314" s="12"/>
      <c r="F314" s="13" t="str">
        <f t="shared" si="1"/>
        <v/>
      </c>
    </row>
    <row r="315" ht="15.75" customHeight="1">
      <c r="A315" s="10"/>
      <c r="B315" s="18" t="str">
        <f>IF(A315="","",IFERROR(VLOOKUP(A315,PROFESSORES!A:B,2,FALSE),""))</f>
        <v/>
      </c>
      <c r="C315" s="10"/>
      <c r="D315" s="10"/>
      <c r="E315" s="10"/>
      <c r="F315" s="11" t="str">
        <f t="shared" si="1"/>
        <v/>
      </c>
    </row>
    <row r="316" ht="15.75" customHeight="1">
      <c r="A316" s="12"/>
      <c r="B316" s="20" t="str">
        <f>IF(A316="","",IFERROR(VLOOKUP(A316,PROFESSORES!A:B,2,FALSE),""))</f>
        <v/>
      </c>
      <c r="C316" s="12"/>
      <c r="D316" s="12"/>
      <c r="E316" s="12"/>
      <c r="F316" s="13" t="str">
        <f t="shared" si="1"/>
        <v/>
      </c>
    </row>
    <row r="317" ht="15.75" customHeight="1">
      <c r="A317" s="10"/>
      <c r="B317" s="18" t="str">
        <f>IF(A317="","",IFERROR(VLOOKUP(A317,PROFESSORES!A:B,2,FALSE),""))</f>
        <v/>
      </c>
      <c r="C317" s="10"/>
      <c r="D317" s="10"/>
      <c r="E317" s="10"/>
      <c r="F317" s="11" t="str">
        <f t="shared" si="1"/>
        <v/>
      </c>
    </row>
    <row r="318" ht="15.75" customHeight="1">
      <c r="A318" s="12"/>
      <c r="B318" s="20" t="str">
        <f>IF(A318="","",IFERROR(VLOOKUP(A318,PROFESSORES!A:B,2,FALSE),""))</f>
        <v/>
      </c>
      <c r="C318" s="12"/>
      <c r="D318" s="12"/>
      <c r="E318" s="12"/>
      <c r="F318" s="13" t="str">
        <f t="shared" si="1"/>
        <v/>
      </c>
    </row>
    <row r="319" ht="15.75" customHeight="1">
      <c r="A319" s="10"/>
      <c r="B319" s="18" t="str">
        <f>IF(A319="","",IFERROR(VLOOKUP(A319,PROFESSORES!A:B,2,FALSE),""))</f>
        <v/>
      </c>
      <c r="C319" s="10"/>
      <c r="D319" s="10"/>
      <c r="E319" s="10"/>
      <c r="F319" s="11" t="str">
        <f t="shared" si="1"/>
        <v/>
      </c>
    </row>
    <row r="320" ht="15.75" customHeight="1">
      <c r="A320" s="12"/>
      <c r="B320" s="20" t="str">
        <f>IF(A320="","",IFERROR(VLOOKUP(A320,PROFESSORES!A:B,2,FALSE),""))</f>
        <v/>
      </c>
      <c r="C320" s="12"/>
      <c r="D320" s="12"/>
      <c r="E320" s="12"/>
      <c r="F320" s="13" t="str">
        <f t="shared" si="1"/>
        <v/>
      </c>
    </row>
    <row r="321" ht="15.75" customHeight="1">
      <c r="A321" s="10"/>
      <c r="B321" s="18" t="str">
        <f>IF(A321="","",IFERROR(VLOOKUP(A321,PROFESSORES!A:B,2,FALSE),""))</f>
        <v/>
      </c>
      <c r="C321" s="10"/>
      <c r="D321" s="10"/>
      <c r="E321" s="10"/>
      <c r="F321" s="11" t="str">
        <f t="shared" si="1"/>
        <v/>
      </c>
    </row>
    <row r="322" ht="15.75" customHeight="1">
      <c r="A322" s="12"/>
      <c r="B322" s="20" t="str">
        <f>IF(A322="","",IFERROR(VLOOKUP(A322,PROFESSORES!A:B,2,FALSE),""))</f>
        <v/>
      </c>
      <c r="C322" s="12"/>
      <c r="D322" s="12"/>
      <c r="E322" s="12"/>
      <c r="F322" s="13" t="str">
        <f t="shared" si="1"/>
        <v/>
      </c>
    </row>
    <row r="323" ht="15.75" customHeight="1">
      <c r="A323" s="10"/>
      <c r="B323" s="18" t="str">
        <f>IF(A323="","",IFERROR(VLOOKUP(A323,PROFESSORES!A:B,2,FALSE),""))</f>
        <v/>
      </c>
      <c r="C323" s="10"/>
      <c r="D323" s="10"/>
      <c r="E323" s="10"/>
      <c r="F323" s="11" t="str">
        <f t="shared" si="1"/>
        <v/>
      </c>
    </row>
    <row r="324" ht="15.75" customHeight="1">
      <c r="A324" s="12"/>
      <c r="B324" s="20" t="str">
        <f>IF(A324="","",IFERROR(VLOOKUP(A324,PROFESSORES!A:B,2,FALSE),""))</f>
        <v/>
      </c>
      <c r="C324" s="12"/>
      <c r="D324" s="12"/>
      <c r="E324" s="12"/>
      <c r="F324" s="13" t="str">
        <f t="shared" si="1"/>
        <v/>
      </c>
    </row>
    <row r="325" ht="15.75" customHeight="1">
      <c r="A325" s="10"/>
      <c r="B325" s="18" t="str">
        <f>IF(A325="","",IFERROR(VLOOKUP(A325,PROFESSORES!A:B,2,FALSE),""))</f>
        <v/>
      </c>
      <c r="C325" s="10"/>
      <c r="D325" s="10"/>
      <c r="E325" s="10"/>
      <c r="F325" s="11" t="str">
        <f t="shared" si="1"/>
        <v/>
      </c>
    </row>
    <row r="326" ht="15.75" customHeight="1">
      <c r="A326" s="12"/>
      <c r="B326" s="20" t="str">
        <f>IF(A326="","",IFERROR(VLOOKUP(A326,PROFESSORES!A:B,2,FALSE),""))</f>
        <v/>
      </c>
      <c r="C326" s="12"/>
      <c r="D326" s="12"/>
      <c r="E326" s="12"/>
      <c r="F326" s="13" t="str">
        <f t="shared" si="1"/>
        <v/>
      </c>
    </row>
    <row r="327" ht="15.75" customHeight="1">
      <c r="A327" s="10"/>
      <c r="B327" s="18" t="str">
        <f>IF(A327="","",IFERROR(VLOOKUP(A327,PROFESSORES!A:B,2,FALSE),""))</f>
        <v/>
      </c>
      <c r="C327" s="10"/>
      <c r="D327" s="10"/>
      <c r="E327" s="10"/>
      <c r="F327" s="11" t="str">
        <f t="shared" si="1"/>
        <v/>
      </c>
    </row>
    <row r="328" ht="15.75" customHeight="1">
      <c r="A328" s="12"/>
      <c r="B328" s="20" t="str">
        <f>IF(A328="","",IFERROR(VLOOKUP(A328,PROFESSORES!A:B,2,FALSE),""))</f>
        <v/>
      </c>
      <c r="C328" s="12"/>
      <c r="D328" s="12"/>
      <c r="E328" s="12"/>
      <c r="F328" s="13" t="str">
        <f t="shared" si="1"/>
        <v/>
      </c>
    </row>
    <row r="329" ht="15.75" customHeight="1">
      <c r="A329" s="10"/>
      <c r="B329" s="18" t="str">
        <f>IF(A329="","",IFERROR(VLOOKUP(A329,PROFESSORES!A:B,2,FALSE),""))</f>
        <v/>
      </c>
      <c r="C329" s="10"/>
      <c r="D329" s="10"/>
      <c r="E329" s="10"/>
      <c r="F329" s="11" t="str">
        <f t="shared" si="1"/>
        <v/>
      </c>
    </row>
    <row r="330" ht="15.75" customHeight="1">
      <c r="A330" s="12"/>
      <c r="B330" s="20" t="str">
        <f>IF(A330="","",IFERROR(VLOOKUP(A330,PROFESSORES!A:B,2,FALSE),""))</f>
        <v/>
      </c>
      <c r="C330" s="12"/>
      <c r="D330" s="12"/>
      <c r="E330" s="12"/>
      <c r="F330" s="13" t="str">
        <f t="shared" si="1"/>
        <v/>
      </c>
    </row>
    <row r="331" ht="15.75" customHeight="1">
      <c r="A331" s="10"/>
      <c r="B331" s="18" t="str">
        <f>IF(A331="","",IFERROR(VLOOKUP(A331,PROFESSORES!A:B,2,FALSE),""))</f>
        <v/>
      </c>
      <c r="C331" s="10"/>
      <c r="D331" s="10"/>
      <c r="E331" s="10"/>
      <c r="F331" s="11" t="str">
        <f t="shared" si="1"/>
        <v/>
      </c>
    </row>
    <row r="332" ht="15.75" customHeight="1">
      <c r="A332" s="12"/>
      <c r="B332" s="20" t="str">
        <f>IF(A332="","",IFERROR(VLOOKUP(A332,PROFESSORES!A:B,2,FALSE),""))</f>
        <v/>
      </c>
      <c r="C332" s="12"/>
      <c r="D332" s="12"/>
      <c r="E332" s="12"/>
      <c r="F332" s="13" t="str">
        <f t="shared" si="1"/>
        <v/>
      </c>
    </row>
    <row r="333" ht="15.75" customHeight="1">
      <c r="A333" s="10"/>
      <c r="B333" s="18" t="str">
        <f>IF(A333="","",IFERROR(VLOOKUP(A333,PROFESSORES!A:B,2,FALSE),""))</f>
        <v/>
      </c>
      <c r="C333" s="10"/>
      <c r="D333" s="10"/>
      <c r="E333" s="10"/>
      <c r="F333" s="11" t="str">
        <f t="shared" si="1"/>
        <v/>
      </c>
    </row>
    <row r="334" ht="15.75" customHeight="1">
      <c r="A334" s="12"/>
      <c r="B334" s="20" t="str">
        <f>IF(A334="","",IFERROR(VLOOKUP(A334,PROFESSORES!A:B,2,FALSE),""))</f>
        <v/>
      </c>
      <c r="C334" s="12"/>
      <c r="D334" s="12"/>
      <c r="E334" s="12"/>
      <c r="F334" s="13" t="str">
        <f t="shared" si="1"/>
        <v/>
      </c>
    </row>
    <row r="335" ht="15.75" customHeight="1">
      <c r="A335" s="10"/>
      <c r="B335" s="18" t="str">
        <f>IF(A335="","",IFERROR(VLOOKUP(A335,PROFESSORES!A:B,2,FALSE),""))</f>
        <v/>
      </c>
      <c r="C335" s="10"/>
      <c r="D335" s="10"/>
      <c r="E335" s="10"/>
      <c r="F335" s="11" t="str">
        <f t="shared" si="1"/>
        <v/>
      </c>
    </row>
    <row r="336" ht="15.75" customHeight="1">
      <c r="A336" s="12"/>
      <c r="B336" s="20" t="str">
        <f>IF(A336="","",IFERROR(VLOOKUP(A336,PROFESSORES!A:B,2,FALSE),""))</f>
        <v/>
      </c>
      <c r="C336" s="12"/>
      <c r="D336" s="12"/>
      <c r="E336" s="12"/>
      <c r="F336" s="13" t="str">
        <f t="shared" si="1"/>
        <v/>
      </c>
    </row>
    <row r="337" ht="15.75" customHeight="1">
      <c r="A337" s="10"/>
      <c r="B337" s="18" t="str">
        <f>IF(A337="","",IFERROR(VLOOKUP(A337,PROFESSORES!A:B,2,FALSE),""))</f>
        <v/>
      </c>
      <c r="C337" s="10"/>
      <c r="D337" s="10"/>
      <c r="E337" s="10"/>
      <c r="F337" s="11" t="str">
        <f t="shared" si="1"/>
        <v/>
      </c>
    </row>
    <row r="338" ht="15.75" customHeight="1">
      <c r="A338" s="12"/>
      <c r="B338" s="20" t="str">
        <f>IF(A338="","",IFERROR(VLOOKUP(A338,PROFESSORES!A:B,2,FALSE),""))</f>
        <v/>
      </c>
      <c r="C338" s="12"/>
      <c r="D338" s="12"/>
      <c r="E338" s="12"/>
      <c r="F338" s="13" t="str">
        <f t="shared" si="1"/>
        <v/>
      </c>
    </row>
    <row r="339" ht="15.75" customHeight="1">
      <c r="A339" s="10"/>
      <c r="B339" s="18" t="str">
        <f>IF(A339="","",IFERROR(VLOOKUP(A339,PROFESSORES!A:B,2,FALSE),""))</f>
        <v/>
      </c>
      <c r="C339" s="10"/>
      <c r="D339" s="10"/>
      <c r="E339" s="10"/>
      <c r="F339" s="11" t="str">
        <f t="shared" si="1"/>
        <v/>
      </c>
    </row>
    <row r="340" ht="15.75" customHeight="1">
      <c r="A340" s="12"/>
      <c r="B340" s="20" t="str">
        <f>IF(A340="","",IFERROR(VLOOKUP(A340,PROFESSORES!A:B,2,FALSE),""))</f>
        <v/>
      </c>
      <c r="C340" s="12"/>
      <c r="D340" s="12"/>
      <c r="E340" s="12"/>
      <c r="F340" s="13" t="str">
        <f t="shared" si="1"/>
        <v/>
      </c>
    </row>
    <row r="341" ht="15.75" customHeight="1">
      <c r="A341" s="10"/>
      <c r="B341" s="18" t="str">
        <f>IF(A341="","",IFERROR(VLOOKUP(A341,PROFESSORES!A:B,2,FALSE),""))</f>
        <v/>
      </c>
      <c r="C341" s="10"/>
      <c r="D341" s="10"/>
      <c r="E341" s="10"/>
      <c r="F341" s="11" t="str">
        <f t="shared" si="1"/>
        <v/>
      </c>
    </row>
    <row r="342" ht="15.75" customHeight="1">
      <c r="A342" s="12"/>
      <c r="B342" s="20" t="str">
        <f>IF(A342="","",IFERROR(VLOOKUP(A342,PROFESSORES!A:B,2,FALSE),""))</f>
        <v/>
      </c>
      <c r="C342" s="12"/>
      <c r="D342" s="12"/>
      <c r="E342" s="12"/>
      <c r="F342" s="13" t="str">
        <f t="shared" si="1"/>
        <v/>
      </c>
    </row>
    <row r="343" ht="15.75" customHeight="1">
      <c r="A343" s="10"/>
      <c r="B343" s="18" t="str">
        <f>IF(A343="","",IFERROR(VLOOKUP(A343,PROFESSORES!A:B,2,FALSE),""))</f>
        <v/>
      </c>
      <c r="C343" s="10"/>
      <c r="D343" s="10"/>
      <c r="E343" s="10"/>
      <c r="F343" s="11" t="str">
        <f t="shared" si="1"/>
        <v/>
      </c>
    </row>
    <row r="344" ht="15.75" customHeight="1">
      <c r="A344" s="12"/>
      <c r="B344" s="20" t="str">
        <f>IF(A344="","",IFERROR(VLOOKUP(A344,PROFESSORES!A:B,2,FALSE),""))</f>
        <v/>
      </c>
      <c r="C344" s="12"/>
      <c r="D344" s="12"/>
      <c r="E344" s="12"/>
      <c r="F344" s="13" t="str">
        <f t="shared" si="1"/>
        <v/>
      </c>
    </row>
    <row r="345" ht="15.75" customHeight="1">
      <c r="A345" s="10"/>
      <c r="B345" s="18" t="str">
        <f>IF(A345="","",IFERROR(VLOOKUP(A345,PROFESSORES!A:B,2,FALSE),""))</f>
        <v/>
      </c>
      <c r="C345" s="10"/>
      <c r="D345" s="10"/>
      <c r="E345" s="10"/>
      <c r="F345" s="11" t="str">
        <f t="shared" si="1"/>
        <v/>
      </c>
    </row>
    <row r="346" ht="15.75" customHeight="1">
      <c r="A346" s="12"/>
      <c r="B346" s="20" t="str">
        <f>IF(A346="","",IFERROR(VLOOKUP(A346,PROFESSORES!A:B,2,FALSE),""))</f>
        <v/>
      </c>
      <c r="C346" s="12"/>
      <c r="D346" s="12"/>
      <c r="E346" s="12"/>
      <c r="F346" s="13" t="str">
        <f t="shared" si="1"/>
        <v/>
      </c>
    </row>
    <row r="347" ht="15.75" customHeight="1">
      <c r="A347" s="10"/>
      <c r="B347" s="18" t="str">
        <f>IF(A347="","",IFERROR(VLOOKUP(A347,PROFESSORES!A:B,2,FALSE),""))</f>
        <v/>
      </c>
      <c r="C347" s="10"/>
      <c r="D347" s="10"/>
      <c r="E347" s="10"/>
      <c r="F347" s="11" t="str">
        <f t="shared" si="1"/>
        <v/>
      </c>
    </row>
    <row r="348" ht="15.75" customHeight="1">
      <c r="A348" s="12"/>
      <c r="B348" s="20" t="str">
        <f>IF(A348="","",IFERROR(VLOOKUP(A348,PROFESSORES!A:B,2,FALSE),""))</f>
        <v/>
      </c>
      <c r="C348" s="12"/>
      <c r="D348" s="12"/>
      <c r="E348" s="12"/>
      <c r="F348" s="13" t="str">
        <f t="shared" si="1"/>
        <v/>
      </c>
    </row>
    <row r="349" ht="15.75" customHeight="1">
      <c r="A349" s="10"/>
      <c r="B349" s="18" t="str">
        <f>IF(A349="","",IFERROR(VLOOKUP(A349,PROFESSORES!A:B,2,FALSE),""))</f>
        <v/>
      </c>
      <c r="C349" s="10"/>
      <c r="D349" s="10"/>
      <c r="E349" s="10"/>
      <c r="F349" s="11" t="str">
        <f t="shared" si="1"/>
        <v/>
      </c>
    </row>
    <row r="350" ht="15.75" customHeight="1">
      <c r="A350" s="12"/>
      <c r="B350" s="20" t="str">
        <f>IF(A350="","",IFERROR(VLOOKUP(A350,PROFESSORES!A:B,2,FALSE),""))</f>
        <v/>
      </c>
      <c r="C350" s="12"/>
      <c r="D350" s="12"/>
      <c r="E350" s="12"/>
      <c r="F350" s="13" t="str">
        <f t="shared" si="1"/>
        <v/>
      </c>
    </row>
    <row r="351" ht="15.75" customHeight="1">
      <c r="A351" s="10"/>
      <c r="B351" s="18" t="str">
        <f>IF(A351="","",IFERROR(VLOOKUP(A351,PROFESSORES!A:B,2,FALSE),""))</f>
        <v/>
      </c>
      <c r="C351" s="10"/>
      <c r="D351" s="10"/>
      <c r="E351" s="10"/>
      <c r="F351" s="11" t="str">
        <f t="shared" si="1"/>
        <v/>
      </c>
    </row>
    <row r="352" ht="15.75" customHeight="1">
      <c r="A352" s="12"/>
      <c r="B352" s="20" t="str">
        <f>IF(A352="","",IFERROR(VLOOKUP(A352,PROFESSORES!A:B,2,FALSE),""))</f>
        <v/>
      </c>
      <c r="C352" s="12"/>
      <c r="D352" s="12"/>
      <c r="E352" s="12"/>
      <c r="F352" s="13" t="str">
        <f t="shared" si="1"/>
        <v/>
      </c>
    </row>
    <row r="353" ht="15.75" customHeight="1">
      <c r="A353" s="10"/>
      <c r="B353" s="18" t="str">
        <f>IF(A353="","",IFERROR(VLOOKUP(A353,PROFESSORES!A:B,2,FALSE),""))</f>
        <v/>
      </c>
      <c r="C353" s="10"/>
      <c r="D353" s="10"/>
      <c r="E353" s="10"/>
      <c r="F353" s="11" t="str">
        <f t="shared" si="1"/>
        <v/>
      </c>
    </row>
    <row r="354" ht="15.75" customHeight="1">
      <c r="A354" s="12"/>
      <c r="B354" s="20" t="str">
        <f>IF(A354="","",IFERROR(VLOOKUP(A354,PROFESSORES!A:B,2,FALSE),""))</f>
        <v/>
      </c>
      <c r="C354" s="12"/>
      <c r="D354" s="12"/>
      <c r="E354" s="12"/>
      <c r="F354" s="13" t="str">
        <f t="shared" si="1"/>
        <v/>
      </c>
    </row>
    <row r="355" ht="15.75" customHeight="1">
      <c r="A355" s="10"/>
      <c r="B355" s="18" t="str">
        <f>IF(A355="","",IFERROR(VLOOKUP(A355,PROFESSORES!A:B,2,FALSE),""))</f>
        <v/>
      </c>
      <c r="C355" s="10"/>
      <c r="D355" s="10"/>
      <c r="E355" s="10"/>
      <c r="F355" s="11" t="str">
        <f t="shared" si="1"/>
        <v/>
      </c>
    </row>
    <row r="356" ht="15.75" customHeight="1">
      <c r="A356" s="12"/>
      <c r="B356" s="20" t="str">
        <f>IF(A356="","",IFERROR(VLOOKUP(A356,PROFESSORES!A:B,2,FALSE),""))</f>
        <v/>
      </c>
      <c r="C356" s="12"/>
      <c r="D356" s="12"/>
      <c r="E356" s="12"/>
      <c r="F356" s="13" t="str">
        <f t="shared" si="1"/>
        <v/>
      </c>
    </row>
    <row r="357" ht="15.75" customHeight="1">
      <c r="A357" s="10"/>
      <c r="B357" s="18" t="str">
        <f>IF(A357="","",IFERROR(VLOOKUP(A357,PROFESSORES!A:B,2,FALSE),""))</f>
        <v/>
      </c>
      <c r="C357" s="10"/>
      <c r="D357" s="10"/>
      <c r="E357" s="10"/>
      <c r="F357" s="11" t="str">
        <f t="shared" si="1"/>
        <v/>
      </c>
    </row>
    <row r="358" ht="15.75" customHeight="1">
      <c r="A358" s="12"/>
      <c r="B358" s="20" t="str">
        <f>IF(A358="","",IFERROR(VLOOKUP(A358,PROFESSORES!A:B,2,FALSE),""))</f>
        <v/>
      </c>
      <c r="C358" s="12"/>
      <c r="D358" s="12"/>
      <c r="E358" s="12"/>
      <c r="F358" s="13" t="str">
        <f t="shared" si="1"/>
        <v/>
      </c>
    </row>
    <row r="359" ht="15.75" customHeight="1">
      <c r="A359" s="10"/>
      <c r="B359" s="18" t="str">
        <f>IF(A359="","",IFERROR(VLOOKUP(A359,PROFESSORES!A:B,2,FALSE),""))</f>
        <v/>
      </c>
      <c r="C359" s="10"/>
      <c r="D359" s="10"/>
      <c r="E359" s="10"/>
      <c r="F359" s="11" t="str">
        <f t="shared" si="1"/>
        <v/>
      </c>
    </row>
    <row r="360" ht="15.75" customHeight="1">
      <c r="A360" s="12"/>
      <c r="B360" s="20" t="str">
        <f>IF(A360="","",IFERROR(VLOOKUP(A360,PROFESSORES!A:B,2,FALSE),""))</f>
        <v/>
      </c>
      <c r="C360" s="12"/>
      <c r="D360" s="12"/>
      <c r="E360" s="12"/>
      <c r="F360" s="13" t="str">
        <f t="shared" si="1"/>
        <v/>
      </c>
    </row>
    <row r="361" ht="15.75" customHeight="1">
      <c r="A361" s="10"/>
      <c r="B361" s="18" t="str">
        <f>IF(A361="","",IFERROR(VLOOKUP(A361,PROFESSORES!A:B,2,FALSE),""))</f>
        <v/>
      </c>
      <c r="C361" s="10"/>
      <c r="D361" s="10"/>
      <c r="E361" s="10"/>
      <c r="F361" s="11" t="str">
        <f t="shared" si="1"/>
        <v/>
      </c>
    </row>
    <row r="362" ht="15.75" customHeight="1">
      <c r="A362" s="12"/>
      <c r="B362" s="20" t="str">
        <f>IF(A362="","",IFERROR(VLOOKUP(A362,PROFESSORES!A:B,2,FALSE),""))</f>
        <v/>
      </c>
      <c r="C362" s="12"/>
      <c r="D362" s="12"/>
      <c r="E362" s="12"/>
      <c r="F362" s="13" t="str">
        <f t="shared" si="1"/>
        <v/>
      </c>
    </row>
    <row r="363" ht="15.75" customHeight="1">
      <c r="A363" s="10"/>
      <c r="B363" s="18" t="str">
        <f>IF(A363="","",IFERROR(VLOOKUP(A363,PROFESSORES!A:B,2,FALSE),""))</f>
        <v/>
      </c>
      <c r="C363" s="10"/>
      <c r="D363" s="10"/>
      <c r="E363" s="10"/>
      <c r="F363" s="11" t="str">
        <f t="shared" si="1"/>
        <v/>
      </c>
    </row>
    <row r="364" ht="15.75" customHeight="1">
      <c r="A364" s="12"/>
      <c r="B364" s="20" t="str">
        <f>IF(A364="","",IFERROR(VLOOKUP(A364,PROFESSORES!A:B,2,FALSE),""))</f>
        <v/>
      </c>
      <c r="C364" s="12"/>
      <c r="D364" s="12"/>
      <c r="E364" s="12"/>
      <c r="F364" s="13" t="str">
        <f t="shared" si="1"/>
        <v/>
      </c>
    </row>
    <row r="365" ht="15.75" customHeight="1">
      <c r="A365" s="10"/>
      <c r="B365" s="18" t="str">
        <f>IF(A365="","",IFERROR(VLOOKUP(A365,PROFESSORES!A:B,2,FALSE),""))</f>
        <v/>
      </c>
      <c r="C365" s="10"/>
      <c r="D365" s="10"/>
      <c r="E365" s="10"/>
      <c r="F365" s="11" t="str">
        <f t="shared" si="1"/>
        <v/>
      </c>
    </row>
    <row r="366" ht="15.75" customHeight="1">
      <c r="A366" s="12"/>
      <c r="B366" s="20" t="str">
        <f>IF(A366="","",IFERROR(VLOOKUP(A366,PROFESSORES!A:B,2,FALSE),""))</f>
        <v/>
      </c>
      <c r="C366" s="12"/>
      <c r="D366" s="12"/>
      <c r="E366" s="12"/>
      <c r="F366" s="13" t="str">
        <f t="shared" si="1"/>
        <v/>
      </c>
    </row>
    <row r="367" ht="15.75" customHeight="1">
      <c r="A367" s="10"/>
      <c r="B367" s="18" t="str">
        <f>IF(A367="","",IFERROR(VLOOKUP(A367,PROFESSORES!A:B,2,FALSE),""))</f>
        <v/>
      </c>
      <c r="C367" s="10"/>
      <c r="D367" s="10"/>
      <c r="E367" s="10"/>
      <c r="F367" s="11" t="str">
        <f t="shared" si="1"/>
        <v/>
      </c>
    </row>
    <row r="368" ht="15.75" customHeight="1">
      <c r="A368" s="12"/>
      <c r="B368" s="20" t="str">
        <f>IF(A368="","",IFERROR(VLOOKUP(A368,PROFESSORES!A:B,2,FALSE),""))</f>
        <v/>
      </c>
      <c r="C368" s="12"/>
      <c r="D368" s="12"/>
      <c r="E368" s="12"/>
      <c r="F368" s="13" t="str">
        <f t="shared" si="1"/>
        <v/>
      </c>
    </row>
    <row r="369" ht="15.75" customHeight="1">
      <c r="A369" s="10"/>
      <c r="B369" s="18" t="str">
        <f>IF(A369="","",IFERROR(VLOOKUP(A369,PROFESSORES!A:B,2,FALSE),""))</f>
        <v/>
      </c>
      <c r="C369" s="10"/>
      <c r="D369" s="10"/>
      <c r="E369" s="10"/>
      <c r="F369" s="11" t="str">
        <f t="shared" si="1"/>
        <v/>
      </c>
    </row>
    <row r="370" ht="15.75" customHeight="1">
      <c r="A370" s="12"/>
      <c r="B370" s="20" t="str">
        <f>IF(A370="","",IFERROR(VLOOKUP(A370,PROFESSORES!A:B,2,FALSE),""))</f>
        <v/>
      </c>
      <c r="C370" s="12"/>
      <c r="D370" s="12"/>
      <c r="E370" s="12"/>
      <c r="F370" s="13" t="str">
        <f t="shared" si="1"/>
        <v/>
      </c>
    </row>
    <row r="371" ht="15.75" customHeight="1">
      <c r="A371" s="10"/>
      <c r="B371" s="18" t="str">
        <f>IF(A371="","",IFERROR(VLOOKUP(A371,PROFESSORES!A:B,2,FALSE),""))</f>
        <v/>
      </c>
      <c r="C371" s="10"/>
      <c r="D371" s="10"/>
      <c r="E371" s="10"/>
      <c r="F371" s="11" t="str">
        <f t="shared" si="1"/>
        <v/>
      </c>
    </row>
    <row r="372" ht="15.75" customHeight="1">
      <c r="A372" s="12"/>
      <c r="B372" s="20" t="str">
        <f>IF(A372="","",IFERROR(VLOOKUP(A372,PROFESSORES!A:B,2,FALSE),""))</f>
        <v/>
      </c>
      <c r="C372" s="12"/>
      <c r="D372" s="12"/>
      <c r="E372" s="12"/>
      <c r="F372" s="13" t="str">
        <f t="shared" si="1"/>
        <v/>
      </c>
    </row>
    <row r="373" ht="15.75" customHeight="1">
      <c r="A373" s="10"/>
      <c r="B373" s="18" t="str">
        <f>IF(A373="","",IFERROR(VLOOKUP(A373,PROFESSORES!A:B,2,FALSE),""))</f>
        <v/>
      </c>
      <c r="C373" s="10"/>
      <c r="D373" s="10"/>
      <c r="E373" s="10"/>
      <c r="F373" s="11" t="str">
        <f t="shared" si="1"/>
        <v/>
      </c>
    </row>
    <row r="374" ht="15.75" customHeight="1">
      <c r="A374" s="12"/>
      <c r="B374" s="20" t="str">
        <f>IF(A374="","",IFERROR(VLOOKUP(A374,PROFESSORES!A:B,2,FALSE),""))</f>
        <v/>
      </c>
      <c r="C374" s="12"/>
      <c r="D374" s="12"/>
      <c r="E374" s="12"/>
      <c r="F374" s="13" t="str">
        <f t="shared" si="1"/>
        <v/>
      </c>
    </row>
    <row r="375" ht="15.75" customHeight="1">
      <c r="A375" s="10"/>
      <c r="B375" s="18" t="str">
        <f>IF(A375="","",IFERROR(VLOOKUP(A375,PROFESSORES!A:B,2,FALSE),""))</f>
        <v/>
      </c>
      <c r="C375" s="10"/>
      <c r="D375" s="10"/>
      <c r="E375" s="10"/>
      <c r="F375" s="11" t="str">
        <f t="shared" si="1"/>
        <v/>
      </c>
    </row>
    <row r="376" ht="15.75" customHeight="1">
      <c r="A376" s="12"/>
      <c r="B376" s="20" t="str">
        <f>IF(A376="","",IFERROR(VLOOKUP(A376,PROFESSORES!A:B,2,FALSE),""))</f>
        <v/>
      </c>
      <c r="C376" s="12"/>
      <c r="D376" s="12"/>
      <c r="E376" s="12"/>
      <c r="F376" s="13" t="str">
        <f t="shared" si="1"/>
        <v/>
      </c>
    </row>
    <row r="377" ht="15.75" customHeight="1">
      <c r="A377" s="10"/>
      <c r="B377" s="18" t="str">
        <f>IF(A377="","",IFERROR(VLOOKUP(A377,PROFESSORES!A:B,2,FALSE),""))</f>
        <v/>
      </c>
      <c r="C377" s="10"/>
      <c r="D377" s="10"/>
      <c r="E377" s="10"/>
      <c r="F377" s="11" t="str">
        <f t="shared" si="1"/>
        <v/>
      </c>
    </row>
    <row r="378" ht="15.75" customHeight="1">
      <c r="A378" s="12"/>
      <c r="B378" s="20" t="str">
        <f>IF(A378="","",IFERROR(VLOOKUP(A378,PROFESSORES!A:B,2,FALSE),""))</f>
        <v/>
      </c>
      <c r="C378" s="12"/>
      <c r="D378" s="12"/>
      <c r="E378" s="12"/>
      <c r="F378" s="13" t="str">
        <f t="shared" si="1"/>
        <v/>
      </c>
    </row>
    <row r="379" ht="15.75" customHeight="1">
      <c r="A379" s="10"/>
      <c r="B379" s="18" t="str">
        <f>IF(A379="","",IFERROR(VLOOKUP(A379,PROFESSORES!A:B,2,FALSE),""))</f>
        <v/>
      </c>
      <c r="C379" s="10"/>
      <c r="D379" s="10"/>
      <c r="E379" s="10"/>
      <c r="F379" s="11" t="str">
        <f t="shared" si="1"/>
        <v/>
      </c>
    </row>
    <row r="380" ht="15.75" customHeight="1">
      <c r="A380" s="12"/>
      <c r="B380" s="20" t="str">
        <f>IF(A380="","",IFERROR(VLOOKUP(A380,PROFESSORES!A:B,2,FALSE),""))</f>
        <v/>
      </c>
      <c r="C380" s="12"/>
      <c r="D380" s="12"/>
      <c r="E380" s="12"/>
      <c r="F380" s="13" t="str">
        <f t="shared" si="1"/>
        <v/>
      </c>
    </row>
    <row r="381" ht="15.75" customHeight="1">
      <c r="A381" s="10"/>
      <c r="B381" s="18" t="str">
        <f>IF(A381="","",IFERROR(VLOOKUP(A381,PROFESSORES!A:B,2,FALSE),""))</f>
        <v/>
      </c>
      <c r="C381" s="10"/>
      <c r="D381" s="10"/>
      <c r="E381" s="10"/>
      <c r="F381" s="11" t="str">
        <f t="shared" si="1"/>
        <v/>
      </c>
    </row>
    <row r="382" ht="15.75" customHeight="1">
      <c r="A382" s="12"/>
      <c r="B382" s="20" t="str">
        <f>IF(A382="","",IFERROR(VLOOKUP(A382,PROFESSORES!A:B,2,FALSE),""))</f>
        <v/>
      </c>
      <c r="C382" s="12"/>
      <c r="D382" s="12"/>
      <c r="E382" s="12"/>
      <c r="F382" s="13" t="str">
        <f t="shared" si="1"/>
        <v/>
      </c>
    </row>
    <row r="383" ht="15.75" customHeight="1">
      <c r="A383" s="10"/>
      <c r="B383" s="18" t="str">
        <f>IF(A383="","",IFERROR(VLOOKUP(A383,PROFESSORES!A:B,2,FALSE),""))</f>
        <v/>
      </c>
      <c r="C383" s="10"/>
      <c r="D383" s="10"/>
      <c r="E383" s="10"/>
      <c r="F383" s="11" t="str">
        <f t="shared" si="1"/>
        <v/>
      </c>
    </row>
    <row r="384" ht="15.75" customHeight="1">
      <c r="A384" s="12"/>
      <c r="B384" s="20" t="str">
        <f>IF(A384="","",IFERROR(VLOOKUP(A384,PROFESSORES!A:B,2,FALSE),""))</f>
        <v/>
      </c>
      <c r="C384" s="12"/>
      <c r="D384" s="12"/>
      <c r="E384" s="12"/>
      <c r="F384" s="13" t="str">
        <f t="shared" si="1"/>
        <v/>
      </c>
    </row>
    <row r="385" ht="15.75" customHeight="1">
      <c r="A385" s="10"/>
      <c r="B385" s="18" t="str">
        <f>IF(A385="","",IFERROR(VLOOKUP(A385,PROFESSORES!A:B,2,FALSE),""))</f>
        <v/>
      </c>
      <c r="C385" s="10"/>
      <c r="D385" s="10"/>
      <c r="E385" s="10"/>
      <c r="F385" s="11" t="str">
        <f t="shared" si="1"/>
        <v/>
      </c>
    </row>
    <row r="386" ht="15.75" customHeight="1">
      <c r="A386" s="12"/>
      <c r="B386" s="20" t="str">
        <f>IF(A386="","",IFERROR(VLOOKUP(A386,PROFESSORES!A:B,2,FALSE),""))</f>
        <v/>
      </c>
      <c r="C386" s="12"/>
      <c r="D386" s="12"/>
      <c r="E386" s="12"/>
      <c r="F386" s="13" t="str">
        <f t="shared" si="1"/>
        <v/>
      </c>
    </row>
    <row r="387" ht="15.75" customHeight="1">
      <c r="A387" s="10"/>
      <c r="B387" s="18" t="str">
        <f>IF(A387="","",IFERROR(VLOOKUP(A387,PROFESSORES!A:B,2,FALSE),""))</f>
        <v/>
      </c>
      <c r="C387" s="10"/>
      <c r="D387" s="10"/>
      <c r="E387" s="10"/>
      <c r="F387" s="11" t="str">
        <f t="shared" si="1"/>
        <v/>
      </c>
    </row>
    <row r="388" ht="15.75" customHeight="1">
      <c r="A388" s="12"/>
      <c r="B388" s="20" t="str">
        <f>IF(A388="","",IFERROR(VLOOKUP(A388,PROFESSORES!A:B,2,FALSE),""))</f>
        <v/>
      </c>
      <c r="C388" s="12"/>
      <c r="D388" s="12"/>
      <c r="E388" s="12"/>
      <c r="F388" s="13" t="str">
        <f t="shared" si="1"/>
        <v/>
      </c>
    </row>
    <row r="389" ht="15.75" customHeight="1">
      <c r="A389" s="10"/>
      <c r="B389" s="18" t="str">
        <f>IF(A389="","",IFERROR(VLOOKUP(A389,PROFESSORES!A:B,2,FALSE),""))</f>
        <v/>
      </c>
      <c r="C389" s="10"/>
      <c r="D389" s="10"/>
      <c r="E389" s="10"/>
      <c r="F389" s="11" t="str">
        <f t="shared" si="1"/>
        <v/>
      </c>
    </row>
    <row r="390" ht="15.75" customHeight="1">
      <c r="A390" s="12"/>
      <c r="B390" s="20" t="str">
        <f>IF(A390="","",IFERROR(VLOOKUP(A390,PROFESSORES!A:B,2,FALSE),""))</f>
        <v/>
      </c>
      <c r="C390" s="12"/>
      <c r="D390" s="12"/>
      <c r="E390" s="12"/>
      <c r="F390" s="13" t="str">
        <f t="shared" si="1"/>
        <v/>
      </c>
    </row>
    <row r="391" ht="15.75" customHeight="1">
      <c r="A391" s="10"/>
      <c r="B391" s="18" t="str">
        <f>IF(A391="","",IFERROR(VLOOKUP(A391,PROFESSORES!A:B,2,FALSE),""))</f>
        <v/>
      </c>
      <c r="C391" s="10"/>
      <c r="D391" s="10"/>
      <c r="E391" s="10"/>
      <c r="F391" s="11" t="str">
        <f t="shared" si="1"/>
        <v/>
      </c>
    </row>
    <row r="392" ht="15.75" customHeight="1">
      <c r="A392" s="12"/>
      <c r="B392" s="20" t="str">
        <f>IF(A392="","",IFERROR(VLOOKUP(A392,PROFESSORES!A:B,2,FALSE),""))</f>
        <v/>
      </c>
      <c r="C392" s="12"/>
      <c r="D392" s="12"/>
      <c r="E392" s="12"/>
      <c r="F392" s="13" t="str">
        <f t="shared" si="1"/>
        <v/>
      </c>
    </row>
    <row r="393" ht="15.75" customHeight="1">
      <c r="A393" s="10"/>
      <c r="B393" s="18" t="str">
        <f>IF(A393="","",IFERROR(VLOOKUP(A393,PROFESSORES!A:B,2,FALSE),""))</f>
        <v/>
      </c>
      <c r="C393" s="10"/>
      <c r="D393" s="10"/>
      <c r="E393" s="10"/>
      <c r="F393" s="11" t="str">
        <f t="shared" si="1"/>
        <v/>
      </c>
    </row>
    <row r="394" ht="15.75" customHeight="1">
      <c r="A394" s="12"/>
      <c r="B394" s="20" t="str">
        <f>IF(A394="","",IFERROR(VLOOKUP(A394,PROFESSORES!A:B,2,FALSE),""))</f>
        <v/>
      </c>
      <c r="C394" s="12"/>
      <c r="D394" s="12"/>
      <c r="E394" s="12"/>
      <c r="F394" s="13" t="str">
        <f t="shared" si="1"/>
        <v/>
      </c>
    </row>
    <row r="395" ht="15.75" customHeight="1">
      <c r="A395" s="10"/>
      <c r="B395" s="18" t="str">
        <f>IF(A395="","",IFERROR(VLOOKUP(A395,PROFESSORES!A:B,2,FALSE),""))</f>
        <v/>
      </c>
      <c r="C395" s="10"/>
      <c r="D395" s="10"/>
      <c r="E395" s="10"/>
      <c r="F395" s="11" t="str">
        <f t="shared" si="1"/>
        <v/>
      </c>
    </row>
    <row r="396" ht="15.75" customHeight="1">
      <c r="A396" s="12"/>
      <c r="B396" s="20" t="str">
        <f>IF(A396="","",IFERROR(VLOOKUP(A396,PROFESSORES!A:B,2,FALSE),""))</f>
        <v/>
      </c>
      <c r="C396" s="12"/>
      <c r="D396" s="12"/>
      <c r="E396" s="12"/>
      <c r="F396" s="13" t="str">
        <f t="shared" si="1"/>
        <v/>
      </c>
    </row>
    <row r="397" ht="15.75" customHeight="1">
      <c r="A397" s="10"/>
      <c r="B397" s="18" t="str">
        <f>IF(A397="","",IFERROR(VLOOKUP(A397,PROFESSORES!A:B,2,FALSE),""))</f>
        <v/>
      </c>
      <c r="C397" s="10"/>
      <c r="D397" s="10"/>
      <c r="E397" s="10"/>
      <c r="F397" s="11" t="str">
        <f t="shared" si="1"/>
        <v/>
      </c>
    </row>
    <row r="398" ht="15.75" customHeight="1">
      <c r="A398" s="12"/>
      <c r="B398" s="20" t="str">
        <f>IF(A398="","",IFERROR(VLOOKUP(A398,PROFESSORES!A:B,2,FALSE),""))</f>
        <v/>
      </c>
      <c r="C398" s="12"/>
      <c r="D398" s="12"/>
      <c r="E398" s="12"/>
      <c r="F398" s="13" t="str">
        <f t="shared" si="1"/>
        <v/>
      </c>
    </row>
    <row r="399" ht="15.75" customHeight="1">
      <c r="A399" s="10"/>
      <c r="B399" s="18" t="str">
        <f>IF(A399="","",IFERROR(VLOOKUP(A399,PROFESSORES!A:B,2,FALSE),""))</f>
        <v/>
      </c>
      <c r="C399" s="10"/>
      <c r="D399" s="10"/>
      <c r="E399" s="10"/>
      <c r="F399" s="11" t="str">
        <f t="shared" si="1"/>
        <v/>
      </c>
    </row>
    <row r="400" ht="15.75" customHeight="1">
      <c r="A400" s="12"/>
      <c r="B400" s="20" t="str">
        <f>IF(A400="","",IFERROR(VLOOKUP(A400,PROFESSORES!A:B,2,FALSE),""))</f>
        <v/>
      </c>
      <c r="C400" s="12"/>
      <c r="D400" s="12"/>
      <c r="E400" s="12"/>
      <c r="F400" s="13" t="str">
        <f t="shared" si="1"/>
        <v/>
      </c>
    </row>
    <row r="401" ht="15.75" customHeight="1">
      <c r="A401" s="10"/>
      <c r="B401" s="18" t="str">
        <f>IF(A401="","",IFERROR(VLOOKUP(A401,PROFESSORES!A:B,2,FALSE),""))</f>
        <v/>
      </c>
      <c r="C401" s="10"/>
      <c r="D401" s="10"/>
      <c r="E401" s="10"/>
      <c r="F401" s="11" t="str">
        <f t="shared" si="1"/>
        <v/>
      </c>
    </row>
    <row r="402" ht="15.75" customHeight="1">
      <c r="A402" s="12"/>
      <c r="B402" s="20" t="str">
        <f>IF(A402="","",IFERROR(VLOOKUP(A402,PROFESSORES!A:B,2,FALSE),""))</f>
        <v/>
      </c>
      <c r="C402" s="12"/>
      <c r="D402" s="12"/>
      <c r="E402" s="12"/>
      <c r="F402" s="13" t="str">
        <f t="shared" si="1"/>
        <v/>
      </c>
    </row>
    <row r="403" ht="15.75" customHeight="1">
      <c r="A403" s="10"/>
      <c r="B403" s="18" t="str">
        <f>IF(A403="","",IFERROR(VLOOKUP(A403,PROFESSORES!A:B,2,FALSE),""))</f>
        <v/>
      </c>
      <c r="C403" s="10"/>
      <c r="D403" s="10"/>
      <c r="E403" s="10"/>
      <c r="F403" s="11" t="str">
        <f t="shared" si="1"/>
        <v/>
      </c>
    </row>
    <row r="404" ht="15.75" customHeight="1">
      <c r="A404" s="12"/>
      <c r="B404" s="20" t="str">
        <f>IF(A404="","",IFERROR(VLOOKUP(A404,PROFESSORES!A:B,2,FALSE),""))</f>
        <v/>
      </c>
      <c r="C404" s="12"/>
      <c r="D404" s="12"/>
      <c r="E404" s="12"/>
      <c r="F404" s="13" t="str">
        <f t="shared" si="1"/>
        <v/>
      </c>
    </row>
    <row r="405" ht="15.75" customHeight="1">
      <c r="A405" s="10"/>
      <c r="B405" s="18" t="str">
        <f>IF(A405="","",IFERROR(VLOOKUP(A405,PROFESSORES!A:B,2,FALSE),""))</f>
        <v/>
      </c>
      <c r="C405" s="10"/>
      <c r="D405" s="10"/>
      <c r="E405" s="10"/>
      <c r="F405" s="11" t="str">
        <f t="shared" si="1"/>
        <v/>
      </c>
    </row>
    <row r="406" ht="15.75" customHeight="1">
      <c r="A406" s="12"/>
      <c r="B406" s="20" t="str">
        <f>IF(A406="","",IFERROR(VLOOKUP(A406,PROFESSORES!A:B,2,FALSE),""))</f>
        <v/>
      </c>
      <c r="C406" s="12"/>
      <c r="D406" s="12"/>
      <c r="E406" s="12"/>
      <c r="F406" s="13" t="str">
        <f t="shared" si="1"/>
        <v/>
      </c>
    </row>
    <row r="407" ht="15.75" customHeight="1">
      <c r="A407" s="10"/>
      <c r="B407" s="18" t="str">
        <f>IF(A407="","",IFERROR(VLOOKUP(A407,PROFESSORES!A:B,2,FALSE),""))</f>
        <v/>
      </c>
      <c r="C407" s="10"/>
      <c r="D407" s="10"/>
      <c r="E407" s="10"/>
      <c r="F407" s="11" t="str">
        <f t="shared" si="1"/>
        <v/>
      </c>
    </row>
    <row r="408" ht="15.75" customHeight="1">
      <c r="A408" s="12"/>
      <c r="B408" s="20" t="str">
        <f>IF(A408="","",IFERROR(VLOOKUP(A408,PROFESSORES!A:B,2,FALSE),""))</f>
        <v/>
      </c>
      <c r="C408" s="12"/>
      <c r="D408" s="12"/>
      <c r="E408" s="12"/>
      <c r="F408" s="13" t="str">
        <f t="shared" si="1"/>
        <v/>
      </c>
    </row>
    <row r="409" ht="15.75" customHeight="1">
      <c r="A409" s="10"/>
      <c r="B409" s="18" t="str">
        <f>IF(A409="","",IFERROR(VLOOKUP(A409,PROFESSORES!A:B,2,FALSE),""))</f>
        <v/>
      </c>
      <c r="C409" s="10"/>
      <c r="D409" s="10"/>
      <c r="E409" s="10"/>
      <c r="F409" s="11" t="str">
        <f t="shared" si="1"/>
        <v/>
      </c>
    </row>
    <row r="410" ht="15.75" customHeight="1">
      <c r="A410" s="12"/>
      <c r="B410" s="20" t="str">
        <f>IF(A410="","",IFERROR(VLOOKUP(A410,PROFESSORES!A:B,2,FALSE),""))</f>
        <v/>
      </c>
      <c r="C410" s="12"/>
      <c r="D410" s="12"/>
      <c r="E410" s="12"/>
      <c r="F410" s="13" t="str">
        <f t="shared" si="1"/>
        <v/>
      </c>
    </row>
    <row r="411" ht="15.75" customHeight="1">
      <c r="A411" s="10"/>
      <c r="B411" s="18" t="str">
        <f>IF(A411="","",IFERROR(VLOOKUP(A411,PROFESSORES!A:B,2,FALSE),""))</f>
        <v/>
      </c>
      <c r="C411" s="10"/>
      <c r="D411" s="10"/>
      <c r="E411" s="10"/>
      <c r="F411" s="11" t="str">
        <f t="shared" si="1"/>
        <v/>
      </c>
    </row>
    <row r="412" ht="15.75" customHeight="1">
      <c r="A412" s="12"/>
      <c r="B412" s="20" t="str">
        <f>IF(A412="","",IFERROR(VLOOKUP(A412,PROFESSORES!A:B,2,FALSE),""))</f>
        <v/>
      </c>
      <c r="C412" s="12"/>
      <c r="D412" s="12"/>
      <c r="E412" s="12"/>
      <c r="F412" s="13" t="str">
        <f t="shared" si="1"/>
        <v/>
      </c>
    </row>
    <row r="413" ht="15.75" customHeight="1">
      <c r="A413" s="10"/>
      <c r="B413" s="18" t="str">
        <f>IF(A413="","",IFERROR(VLOOKUP(A413,PROFESSORES!A:B,2,FALSE),""))</f>
        <v/>
      </c>
      <c r="C413" s="10"/>
      <c r="D413" s="10"/>
      <c r="E413" s="10"/>
      <c r="F413" s="11" t="str">
        <f t="shared" si="1"/>
        <v/>
      </c>
    </row>
    <row r="414" ht="15.75" customHeight="1">
      <c r="A414" s="12"/>
      <c r="B414" s="20" t="str">
        <f>IF(A414="","",IFERROR(VLOOKUP(A414,PROFESSORES!A:B,2,FALSE),""))</f>
        <v/>
      </c>
      <c r="C414" s="12"/>
      <c r="D414" s="12"/>
      <c r="E414" s="12"/>
      <c r="F414" s="13" t="str">
        <f t="shared" si="1"/>
        <v/>
      </c>
    </row>
    <row r="415" ht="15.75" customHeight="1">
      <c r="A415" s="10"/>
      <c r="B415" s="18" t="str">
        <f>IF(A415="","",IFERROR(VLOOKUP(A415,PROFESSORES!A:B,2,FALSE),""))</f>
        <v/>
      </c>
      <c r="C415" s="10"/>
      <c r="D415" s="10"/>
      <c r="E415" s="10"/>
      <c r="F415" s="11" t="str">
        <f t="shared" si="1"/>
        <v/>
      </c>
    </row>
    <row r="416" ht="15.75" customHeight="1">
      <c r="A416" s="12"/>
      <c r="B416" s="20" t="str">
        <f>IF(A416="","",IFERROR(VLOOKUP(A416,PROFESSORES!A:B,2,FALSE),""))</f>
        <v/>
      </c>
      <c r="C416" s="12"/>
      <c r="D416" s="12"/>
      <c r="E416" s="12"/>
      <c r="F416" s="13" t="str">
        <f t="shared" si="1"/>
        <v/>
      </c>
    </row>
    <row r="417" ht="15.75" customHeight="1">
      <c r="A417" s="10"/>
      <c r="B417" s="18" t="str">
        <f>IF(A417="","",IFERROR(VLOOKUP(A417,PROFESSORES!A:B,2,FALSE),""))</f>
        <v/>
      </c>
      <c r="C417" s="10"/>
      <c r="D417" s="10"/>
      <c r="E417" s="10"/>
      <c r="F417" s="11" t="str">
        <f t="shared" si="1"/>
        <v/>
      </c>
    </row>
    <row r="418" ht="15.75" customHeight="1">
      <c r="A418" s="12"/>
      <c r="B418" s="20" t="str">
        <f>IF(A418="","",IFERROR(VLOOKUP(A418,PROFESSORES!A:B,2,FALSE),""))</f>
        <v/>
      </c>
      <c r="C418" s="12"/>
      <c r="D418" s="12"/>
      <c r="E418" s="12"/>
      <c r="F418" s="13" t="str">
        <f t="shared" si="1"/>
        <v/>
      </c>
    </row>
    <row r="419" ht="15.75" customHeight="1">
      <c r="A419" s="10"/>
      <c r="B419" s="18" t="str">
        <f>IF(A419="","",IFERROR(VLOOKUP(A419,PROFESSORES!A:B,2,FALSE),""))</f>
        <v/>
      </c>
      <c r="C419" s="10"/>
      <c r="D419" s="10"/>
      <c r="E419" s="10"/>
      <c r="F419" s="11" t="str">
        <f t="shared" si="1"/>
        <v/>
      </c>
    </row>
    <row r="420" ht="15.75" customHeight="1">
      <c r="A420" s="12"/>
      <c r="B420" s="20" t="str">
        <f>IF(A420="","",IFERROR(VLOOKUP(A420,PROFESSORES!A:B,2,FALSE),""))</f>
        <v/>
      </c>
      <c r="C420" s="12"/>
      <c r="D420" s="12"/>
      <c r="E420" s="12"/>
      <c r="F420" s="13" t="str">
        <f t="shared" si="1"/>
        <v/>
      </c>
    </row>
    <row r="421" ht="15.75" customHeight="1">
      <c r="A421" s="10"/>
      <c r="B421" s="18" t="str">
        <f>IF(A421="","",IFERROR(VLOOKUP(A421,PROFESSORES!A:B,2,FALSE),""))</f>
        <v/>
      </c>
      <c r="C421" s="10"/>
      <c r="D421" s="10"/>
      <c r="E421" s="10"/>
      <c r="F421" s="11" t="str">
        <f t="shared" si="1"/>
        <v/>
      </c>
    </row>
    <row r="422" ht="15.75" customHeight="1">
      <c r="A422" s="12"/>
      <c r="B422" s="20" t="str">
        <f>IF(A422="","",IFERROR(VLOOKUP(A422,PROFESSORES!A:B,2,FALSE),""))</f>
        <v/>
      </c>
      <c r="C422" s="12"/>
      <c r="D422" s="12"/>
      <c r="E422" s="12"/>
      <c r="F422" s="13" t="str">
        <f t="shared" si="1"/>
        <v/>
      </c>
    </row>
    <row r="423" ht="15.75" customHeight="1">
      <c r="A423" s="10"/>
      <c r="B423" s="18" t="str">
        <f>IF(A423="","",IFERROR(VLOOKUP(A423,PROFESSORES!A:B,2,FALSE),""))</f>
        <v/>
      </c>
      <c r="C423" s="10"/>
      <c r="D423" s="10"/>
      <c r="E423" s="10"/>
      <c r="F423" s="11" t="str">
        <f t="shared" si="1"/>
        <v/>
      </c>
    </row>
    <row r="424" ht="15.75" customHeight="1">
      <c r="A424" s="12"/>
      <c r="B424" s="20" t="str">
        <f>IF(A424="","",IFERROR(VLOOKUP(A424,PROFESSORES!A:B,2,FALSE),""))</f>
        <v/>
      </c>
      <c r="C424" s="12"/>
      <c r="D424" s="12"/>
      <c r="E424" s="12"/>
      <c r="F424" s="13" t="str">
        <f t="shared" si="1"/>
        <v/>
      </c>
    </row>
    <row r="425" ht="15.75" customHeight="1">
      <c r="A425" s="10"/>
      <c r="B425" s="18" t="str">
        <f>IF(A425="","",IFERROR(VLOOKUP(A425,PROFESSORES!A:B,2,FALSE),""))</f>
        <v/>
      </c>
      <c r="C425" s="10"/>
      <c r="D425" s="10"/>
      <c r="E425" s="10"/>
      <c r="F425" s="11" t="str">
        <f t="shared" si="1"/>
        <v/>
      </c>
    </row>
    <row r="426" ht="15.75" customHeight="1">
      <c r="A426" s="12"/>
      <c r="B426" s="20" t="str">
        <f>IF(A426="","",IFERROR(VLOOKUP(A426,PROFESSORES!A:B,2,FALSE),""))</f>
        <v/>
      </c>
      <c r="C426" s="12"/>
      <c r="D426" s="12"/>
      <c r="E426" s="12"/>
      <c r="F426" s="13" t="str">
        <f t="shared" si="1"/>
        <v/>
      </c>
    </row>
    <row r="427" ht="15.75" customHeight="1">
      <c r="A427" s="10"/>
      <c r="B427" s="18" t="str">
        <f>IF(A427="","",IFERROR(VLOOKUP(A427,PROFESSORES!A:B,2,FALSE),""))</f>
        <v/>
      </c>
      <c r="C427" s="10"/>
      <c r="D427" s="10"/>
      <c r="E427" s="10"/>
      <c r="F427" s="11" t="str">
        <f t="shared" si="1"/>
        <v/>
      </c>
    </row>
    <row r="428" ht="15.75" customHeight="1">
      <c r="A428" s="12"/>
      <c r="B428" s="20" t="str">
        <f>IF(A428="","",IFERROR(VLOOKUP(A428,PROFESSORES!A:B,2,FALSE),""))</f>
        <v/>
      </c>
      <c r="C428" s="12"/>
      <c r="D428" s="12"/>
      <c r="E428" s="12"/>
      <c r="F428" s="13" t="str">
        <f t="shared" si="1"/>
        <v/>
      </c>
    </row>
    <row r="429" ht="15.75" customHeight="1">
      <c r="A429" s="10"/>
      <c r="B429" s="18" t="str">
        <f>IF(A429="","",IFERROR(VLOOKUP(A429,PROFESSORES!A:B,2,FALSE),""))</f>
        <v/>
      </c>
      <c r="C429" s="10"/>
      <c r="D429" s="10"/>
      <c r="E429" s="10"/>
      <c r="F429" s="11" t="str">
        <f t="shared" si="1"/>
        <v/>
      </c>
    </row>
    <row r="430" ht="15.75" customHeight="1">
      <c r="A430" s="12"/>
      <c r="B430" s="20" t="str">
        <f>IF(A430="","",IFERROR(VLOOKUP(A430,PROFESSORES!A:B,2,FALSE),""))</f>
        <v/>
      </c>
      <c r="C430" s="12"/>
      <c r="D430" s="12"/>
      <c r="E430" s="12"/>
      <c r="F430" s="13" t="str">
        <f t="shared" si="1"/>
        <v/>
      </c>
    </row>
    <row r="431" ht="15.75" customHeight="1">
      <c r="A431" s="10"/>
      <c r="B431" s="18" t="str">
        <f>IF(A431="","",IFERROR(VLOOKUP(A431,PROFESSORES!A:B,2,FALSE),""))</f>
        <v/>
      </c>
      <c r="C431" s="10"/>
      <c r="D431" s="10"/>
      <c r="E431" s="10"/>
      <c r="F431" s="11" t="str">
        <f t="shared" si="1"/>
        <v/>
      </c>
    </row>
    <row r="432" ht="15.75" customHeight="1">
      <c r="A432" s="12"/>
      <c r="B432" s="20" t="str">
        <f>IF(A432="","",IFERROR(VLOOKUP(A432,PROFESSORES!A:B,2,FALSE),""))</f>
        <v/>
      </c>
      <c r="C432" s="12"/>
      <c r="D432" s="12"/>
      <c r="E432" s="12"/>
      <c r="F432" s="13" t="str">
        <f t="shared" si="1"/>
        <v/>
      </c>
    </row>
    <row r="433" ht="15.75" customHeight="1">
      <c r="A433" s="10"/>
      <c r="B433" s="18" t="str">
        <f>IF(A433="","",IFERROR(VLOOKUP(A433,PROFESSORES!A:B,2,FALSE),""))</f>
        <v/>
      </c>
      <c r="C433" s="10"/>
      <c r="D433" s="10"/>
      <c r="E433" s="10"/>
      <c r="F433" s="11" t="str">
        <f t="shared" si="1"/>
        <v/>
      </c>
    </row>
    <row r="434" ht="15.75" customHeight="1">
      <c r="A434" s="12"/>
      <c r="B434" s="20" t="str">
        <f>IF(A434="","",IFERROR(VLOOKUP(A434,PROFESSORES!A:B,2,FALSE),""))</f>
        <v/>
      </c>
      <c r="C434" s="12"/>
      <c r="D434" s="12"/>
      <c r="E434" s="12"/>
      <c r="F434" s="13" t="str">
        <f t="shared" si="1"/>
        <v/>
      </c>
    </row>
    <row r="435" ht="15.75" customHeight="1">
      <c r="A435" s="10"/>
      <c r="B435" s="18" t="str">
        <f>IF(A435="","",IFERROR(VLOOKUP(A435,PROFESSORES!A:B,2,FALSE),""))</f>
        <v/>
      </c>
      <c r="C435" s="10"/>
      <c r="D435" s="10"/>
      <c r="E435" s="10"/>
      <c r="F435" s="11" t="str">
        <f t="shared" si="1"/>
        <v/>
      </c>
    </row>
    <row r="436" ht="15.75" customHeight="1">
      <c r="A436" s="12"/>
      <c r="B436" s="20" t="str">
        <f>IF(A436="","",IFERROR(VLOOKUP(A436,PROFESSORES!A:B,2,FALSE),""))</f>
        <v/>
      </c>
      <c r="C436" s="12"/>
      <c r="D436" s="12"/>
      <c r="E436" s="12"/>
      <c r="F436" s="13" t="str">
        <f t="shared" si="1"/>
        <v/>
      </c>
    </row>
    <row r="437" ht="15.75" customHeight="1">
      <c r="A437" s="10"/>
      <c r="B437" s="18" t="str">
        <f>IF(A437="","",IFERROR(VLOOKUP(A437,PROFESSORES!A:B,2,FALSE),""))</f>
        <v/>
      </c>
      <c r="C437" s="10"/>
      <c r="D437" s="10"/>
      <c r="E437" s="10"/>
      <c r="F437" s="11" t="str">
        <f t="shared" si="1"/>
        <v/>
      </c>
    </row>
    <row r="438" ht="15.75" customHeight="1">
      <c r="A438" s="12"/>
      <c r="B438" s="20" t="str">
        <f>IF(A438="","",IFERROR(VLOOKUP(A438,PROFESSORES!A:B,2,FALSE),""))</f>
        <v/>
      </c>
      <c r="C438" s="12"/>
      <c r="D438" s="12"/>
      <c r="E438" s="12"/>
      <c r="F438" s="13" t="str">
        <f t="shared" si="1"/>
        <v/>
      </c>
    </row>
    <row r="439" ht="15.75" customHeight="1">
      <c r="A439" s="10"/>
      <c r="B439" s="18" t="str">
        <f>IF(A439="","",IFERROR(VLOOKUP(A439,PROFESSORES!A:B,2,FALSE),""))</f>
        <v/>
      </c>
      <c r="C439" s="10"/>
      <c r="D439" s="10"/>
      <c r="E439" s="10"/>
      <c r="F439" s="11" t="str">
        <f t="shared" si="1"/>
        <v/>
      </c>
    </row>
    <row r="440" ht="15.75" customHeight="1">
      <c r="A440" s="12"/>
      <c r="B440" s="20" t="str">
        <f>IF(A440="","",IFERROR(VLOOKUP(A440,PROFESSORES!A:B,2,FALSE),""))</f>
        <v/>
      </c>
      <c r="C440" s="12"/>
      <c r="D440" s="12"/>
      <c r="E440" s="12"/>
      <c r="F440" s="13" t="str">
        <f t="shared" si="1"/>
        <v/>
      </c>
    </row>
    <row r="441" ht="15.75" customHeight="1">
      <c r="A441" s="10"/>
      <c r="B441" s="18" t="str">
        <f>IF(A441="","",IFERROR(VLOOKUP(A441,PROFESSORES!A:B,2,FALSE),""))</f>
        <v/>
      </c>
      <c r="C441" s="10"/>
      <c r="D441" s="10"/>
      <c r="E441" s="10"/>
      <c r="F441" s="11" t="str">
        <f t="shared" si="1"/>
        <v/>
      </c>
    </row>
    <row r="442" ht="15.75" customHeight="1">
      <c r="A442" s="12"/>
      <c r="B442" s="20" t="str">
        <f>IF(A442="","",IFERROR(VLOOKUP(A442,PROFESSORES!A:B,2,FALSE),""))</f>
        <v/>
      </c>
      <c r="C442" s="12"/>
      <c r="D442" s="12"/>
      <c r="E442" s="12"/>
      <c r="F442" s="13" t="str">
        <f t="shared" si="1"/>
        <v/>
      </c>
    </row>
    <row r="443" ht="15.75" customHeight="1">
      <c r="A443" s="10"/>
      <c r="B443" s="18" t="str">
        <f>IF(A443="","",IFERROR(VLOOKUP(A443,PROFESSORES!A:B,2,FALSE),""))</f>
        <v/>
      </c>
      <c r="C443" s="10"/>
      <c r="D443" s="10"/>
      <c r="E443" s="10"/>
      <c r="F443" s="11" t="str">
        <f t="shared" si="1"/>
        <v/>
      </c>
    </row>
    <row r="444" ht="15.75" customHeight="1">
      <c r="A444" s="12"/>
      <c r="B444" s="20" t="str">
        <f>IF(A444="","",IFERROR(VLOOKUP(A444,PROFESSORES!A:B,2,FALSE),""))</f>
        <v/>
      </c>
      <c r="C444" s="12"/>
      <c r="D444" s="12"/>
      <c r="E444" s="12"/>
      <c r="F444" s="13" t="str">
        <f t="shared" si="1"/>
        <v/>
      </c>
    </row>
    <row r="445" ht="15.75" customHeight="1">
      <c r="A445" s="10"/>
      <c r="B445" s="18" t="str">
        <f>IF(A445="","",IFERROR(VLOOKUP(A445,PROFESSORES!A:B,2,FALSE),""))</f>
        <v/>
      </c>
      <c r="C445" s="10"/>
      <c r="D445" s="10"/>
      <c r="E445" s="10"/>
      <c r="F445" s="11" t="str">
        <f t="shared" si="1"/>
        <v/>
      </c>
    </row>
    <row r="446" ht="15.75" customHeight="1">
      <c r="A446" s="12"/>
      <c r="B446" s="20" t="str">
        <f>IF(A446="","",IFERROR(VLOOKUP(A446,PROFESSORES!A:B,2,FALSE),""))</f>
        <v/>
      </c>
      <c r="C446" s="12"/>
      <c r="D446" s="12"/>
      <c r="E446" s="12"/>
      <c r="F446" s="13" t="str">
        <f t="shared" si="1"/>
        <v/>
      </c>
    </row>
    <row r="447" ht="15.75" customHeight="1">
      <c r="A447" s="10"/>
      <c r="B447" s="18" t="str">
        <f>IF(A447="","",IFERROR(VLOOKUP(A447,PROFESSORES!A:B,2,FALSE),""))</f>
        <v/>
      </c>
      <c r="C447" s="10"/>
      <c r="D447" s="10"/>
      <c r="E447" s="10"/>
      <c r="F447" s="11" t="str">
        <f t="shared" si="1"/>
        <v/>
      </c>
    </row>
    <row r="448" ht="15.75" customHeight="1">
      <c r="A448" s="12"/>
      <c r="B448" s="20" t="str">
        <f>IF(A448="","",IFERROR(VLOOKUP(A448,PROFESSORES!A:B,2,FALSE),""))</f>
        <v/>
      </c>
      <c r="C448" s="12"/>
      <c r="D448" s="12"/>
      <c r="E448" s="12"/>
      <c r="F448" s="13" t="str">
        <f t="shared" si="1"/>
        <v/>
      </c>
    </row>
    <row r="449" ht="15.75" customHeight="1">
      <c r="A449" s="10"/>
      <c r="B449" s="18" t="str">
        <f>IF(A449="","",IFERROR(VLOOKUP(A449,PROFESSORES!A:B,2,FALSE),""))</f>
        <v/>
      </c>
      <c r="C449" s="10"/>
      <c r="D449" s="10"/>
      <c r="E449" s="10"/>
      <c r="F449" s="11" t="str">
        <f t="shared" si="1"/>
        <v/>
      </c>
    </row>
    <row r="450" ht="15.75" customHeight="1">
      <c r="A450" s="12"/>
      <c r="B450" s="20" t="str">
        <f>IF(A450="","",IFERROR(VLOOKUP(A450,PROFESSORES!A:B,2,FALSE),""))</f>
        <v/>
      </c>
      <c r="C450" s="12"/>
      <c r="D450" s="12"/>
      <c r="E450" s="12"/>
      <c r="F450" s="13" t="str">
        <f t="shared" si="1"/>
        <v/>
      </c>
    </row>
    <row r="451" ht="15.75" customHeight="1">
      <c r="A451" s="10"/>
      <c r="B451" s="18" t="str">
        <f>IF(A451="","",IFERROR(VLOOKUP(A451,PROFESSORES!A:B,2,FALSE),""))</f>
        <v/>
      </c>
      <c r="C451" s="10"/>
      <c r="D451" s="10"/>
      <c r="E451" s="10"/>
      <c r="F451" s="11" t="str">
        <f t="shared" si="1"/>
        <v/>
      </c>
    </row>
    <row r="452" ht="15.75" customHeight="1">
      <c r="A452" s="12"/>
      <c r="B452" s="20" t="str">
        <f>IF(A452="","",IFERROR(VLOOKUP(A452,PROFESSORES!A:B,2,FALSE),""))</f>
        <v/>
      </c>
      <c r="C452" s="12"/>
      <c r="D452" s="12"/>
      <c r="E452" s="12"/>
      <c r="F452" s="13" t="str">
        <f t="shared" si="1"/>
        <v/>
      </c>
    </row>
    <row r="453" ht="15.75" customHeight="1">
      <c r="A453" s="10"/>
      <c r="B453" s="18" t="str">
        <f>IF(A453="","",IFERROR(VLOOKUP(A453,PROFESSORES!A:B,2,FALSE),""))</f>
        <v/>
      </c>
      <c r="C453" s="10"/>
      <c r="D453" s="10"/>
      <c r="E453" s="10"/>
      <c r="F453" s="11" t="str">
        <f t="shared" si="1"/>
        <v/>
      </c>
    </row>
    <row r="454" ht="15.75" customHeight="1">
      <c r="A454" s="12"/>
      <c r="B454" s="20" t="str">
        <f>IF(A454="","",IFERROR(VLOOKUP(A454,PROFESSORES!A:B,2,FALSE),""))</f>
        <v/>
      </c>
      <c r="C454" s="12"/>
      <c r="D454" s="12"/>
      <c r="E454" s="12"/>
      <c r="F454" s="13" t="str">
        <f t="shared" si="1"/>
        <v/>
      </c>
    </row>
    <row r="455" ht="15.75" customHeight="1">
      <c r="A455" s="10"/>
      <c r="B455" s="18" t="str">
        <f>IF(A455="","",IFERROR(VLOOKUP(A455,PROFESSORES!A:B,2,FALSE),""))</f>
        <v/>
      </c>
      <c r="C455" s="10"/>
      <c r="D455" s="10"/>
      <c r="E455" s="10"/>
      <c r="F455" s="11" t="str">
        <f t="shared" si="1"/>
        <v/>
      </c>
    </row>
    <row r="456" ht="15.75" customHeight="1">
      <c r="A456" s="12"/>
      <c r="B456" s="20" t="str">
        <f>IF(A456="","",IFERROR(VLOOKUP(A456,PROFESSORES!A:B,2,FALSE),""))</f>
        <v/>
      </c>
      <c r="C456" s="12"/>
      <c r="D456" s="12"/>
      <c r="E456" s="12"/>
      <c r="F456" s="13" t="str">
        <f t="shared" si="1"/>
        <v/>
      </c>
    </row>
    <row r="457" ht="15.75" customHeight="1">
      <c r="A457" s="10"/>
      <c r="B457" s="18" t="str">
        <f>IF(A457="","",IFERROR(VLOOKUP(A457,PROFESSORES!A:B,2,FALSE),""))</f>
        <v/>
      </c>
      <c r="C457" s="10"/>
      <c r="D457" s="10"/>
      <c r="E457" s="10"/>
      <c r="F457" s="11" t="str">
        <f t="shared" si="1"/>
        <v/>
      </c>
    </row>
    <row r="458" ht="15.75" customHeight="1">
      <c r="A458" s="12"/>
      <c r="B458" s="20" t="str">
        <f>IF(A458="","",IFERROR(VLOOKUP(A458,PROFESSORES!A:B,2,FALSE),""))</f>
        <v/>
      </c>
      <c r="C458" s="12"/>
      <c r="D458" s="12"/>
      <c r="E458" s="12"/>
      <c r="F458" s="13" t="str">
        <f t="shared" si="1"/>
        <v/>
      </c>
    </row>
    <row r="459" ht="15.75" customHeight="1">
      <c r="A459" s="10"/>
      <c r="B459" s="18" t="str">
        <f>IF(A459="","",IFERROR(VLOOKUP(A459,PROFESSORES!A:B,2,FALSE),""))</f>
        <v/>
      </c>
      <c r="C459" s="10"/>
      <c r="D459" s="10"/>
      <c r="E459" s="10"/>
      <c r="F459" s="11" t="str">
        <f t="shared" si="1"/>
        <v/>
      </c>
    </row>
    <row r="460" ht="15.75" customHeight="1">
      <c r="A460" s="12"/>
      <c r="B460" s="20" t="str">
        <f>IF(A460="","",IFERROR(VLOOKUP(A460,PROFESSORES!A:B,2,FALSE),""))</f>
        <v/>
      </c>
      <c r="C460" s="12"/>
      <c r="D460" s="12"/>
      <c r="E460" s="12"/>
      <c r="F460" s="13" t="str">
        <f t="shared" si="1"/>
        <v/>
      </c>
    </row>
    <row r="461" ht="15.75" customHeight="1">
      <c r="A461" s="10"/>
      <c r="B461" s="18" t="str">
        <f>IF(A461="","",IFERROR(VLOOKUP(A461,PROFESSORES!A:B,2,FALSE),""))</f>
        <v/>
      </c>
      <c r="C461" s="10"/>
      <c r="D461" s="10"/>
      <c r="E461" s="10"/>
      <c r="F461" s="11" t="str">
        <f t="shared" si="1"/>
        <v/>
      </c>
    </row>
    <row r="462" ht="15.75" customHeight="1">
      <c r="A462" s="12"/>
      <c r="B462" s="20" t="str">
        <f>IF(A462="","",IFERROR(VLOOKUP(A462,PROFESSORES!A:B,2,FALSE),""))</f>
        <v/>
      </c>
      <c r="C462" s="12"/>
      <c r="D462" s="12"/>
      <c r="E462" s="12"/>
      <c r="F462" s="13" t="str">
        <f t="shared" si="1"/>
        <v/>
      </c>
    </row>
    <row r="463" ht="15.75" customHeight="1">
      <c r="A463" s="10"/>
      <c r="B463" s="18" t="str">
        <f>IF(A463="","",IFERROR(VLOOKUP(A463,PROFESSORES!A:B,2,FALSE),""))</f>
        <v/>
      </c>
      <c r="C463" s="10"/>
      <c r="D463" s="10"/>
      <c r="E463" s="10"/>
      <c r="F463" s="11" t="str">
        <f t="shared" si="1"/>
        <v/>
      </c>
    </row>
    <row r="464" ht="15.75" customHeight="1">
      <c r="A464" s="12"/>
      <c r="B464" s="20" t="str">
        <f>IF(A464="","",IFERROR(VLOOKUP(A464,PROFESSORES!A:B,2,FALSE),""))</f>
        <v/>
      </c>
      <c r="C464" s="12"/>
      <c r="D464" s="12"/>
      <c r="E464" s="12"/>
      <c r="F464" s="13" t="str">
        <f t="shared" si="1"/>
        <v/>
      </c>
    </row>
    <row r="465" ht="15.75" customHeight="1">
      <c r="A465" s="10"/>
      <c r="B465" s="18" t="str">
        <f>IF(A465="","",IFERROR(VLOOKUP(A465,PROFESSORES!A:B,2,FALSE),""))</f>
        <v/>
      </c>
      <c r="C465" s="10"/>
      <c r="D465" s="10"/>
      <c r="E465" s="10"/>
      <c r="F465" s="11" t="str">
        <f t="shared" si="1"/>
        <v/>
      </c>
    </row>
    <row r="466" ht="15.75" customHeight="1">
      <c r="A466" s="12"/>
      <c r="B466" s="20" t="str">
        <f>IF(A466="","",IFERROR(VLOOKUP(A466,PROFESSORES!A:B,2,FALSE),""))</f>
        <v/>
      </c>
      <c r="C466" s="12"/>
      <c r="D466" s="12"/>
      <c r="E466" s="12"/>
      <c r="F466" s="13" t="str">
        <f t="shared" si="1"/>
        <v/>
      </c>
    </row>
    <row r="467" ht="15.75" customHeight="1">
      <c r="A467" s="10"/>
      <c r="B467" s="18" t="str">
        <f>IF(A467="","",IFERROR(VLOOKUP(A467,PROFESSORES!A:B,2,FALSE),""))</f>
        <v/>
      </c>
      <c r="C467" s="10"/>
      <c r="D467" s="10"/>
      <c r="E467" s="10"/>
      <c r="F467" s="11" t="str">
        <f t="shared" si="1"/>
        <v/>
      </c>
    </row>
    <row r="468" ht="15.75" customHeight="1">
      <c r="A468" s="12"/>
      <c r="B468" s="20" t="str">
        <f>IF(A468="","",IFERROR(VLOOKUP(A468,PROFESSORES!A:B,2,FALSE),""))</f>
        <v/>
      </c>
      <c r="C468" s="12"/>
      <c r="D468" s="12"/>
      <c r="E468" s="12"/>
      <c r="F468" s="13" t="str">
        <f t="shared" si="1"/>
        <v/>
      </c>
    </row>
    <row r="469" ht="15.75" customHeight="1">
      <c r="A469" s="10"/>
      <c r="B469" s="18" t="str">
        <f>IF(A469="","",IFERROR(VLOOKUP(A469,PROFESSORES!A:B,2,FALSE),""))</f>
        <v/>
      </c>
      <c r="C469" s="10"/>
      <c r="D469" s="10"/>
      <c r="E469" s="10"/>
      <c r="F469" s="11" t="str">
        <f t="shared" si="1"/>
        <v/>
      </c>
    </row>
    <row r="470" ht="15.75" customHeight="1">
      <c r="A470" s="12"/>
      <c r="B470" s="20" t="str">
        <f>IF(A470="","",IFERROR(VLOOKUP(A470,PROFESSORES!A:B,2,FALSE),""))</f>
        <v/>
      </c>
      <c r="C470" s="12"/>
      <c r="D470" s="12"/>
      <c r="E470" s="12"/>
      <c r="F470" s="13" t="str">
        <f t="shared" si="1"/>
        <v/>
      </c>
    </row>
    <row r="471" ht="15.75" customHeight="1">
      <c r="A471" s="10"/>
      <c r="B471" s="18" t="str">
        <f>IF(A471="","",IFERROR(VLOOKUP(A471,PROFESSORES!A:B,2,FALSE),""))</f>
        <v/>
      </c>
      <c r="C471" s="10"/>
      <c r="D471" s="10"/>
      <c r="E471" s="10"/>
      <c r="F471" s="11" t="str">
        <f t="shared" si="1"/>
        <v/>
      </c>
    </row>
    <row r="472" ht="15.75" customHeight="1">
      <c r="A472" s="12"/>
      <c r="B472" s="20" t="str">
        <f>IF(A472="","",IFERROR(VLOOKUP(A472,PROFESSORES!A:B,2,FALSE),""))</f>
        <v/>
      </c>
      <c r="C472" s="12"/>
      <c r="D472" s="12"/>
      <c r="E472" s="12"/>
      <c r="F472" s="13" t="str">
        <f t="shared" si="1"/>
        <v/>
      </c>
    </row>
    <row r="473" ht="15.75" customHeight="1">
      <c r="A473" s="10"/>
      <c r="B473" s="18" t="str">
        <f>IF(A473="","",IFERROR(VLOOKUP(A473,PROFESSORES!A:B,2,FALSE),""))</f>
        <v/>
      </c>
      <c r="C473" s="10"/>
      <c r="D473" s="10"/>
      <c r="E473" s="10"/>
      <c r="F473" s="11" t="str">
        <f t="shared" si="1"/>
        <v/>
      </c>
    </row>
    <row r="474" ht="15.75" customHeight="1">
      <c r="A474" s="12"/>
      <c r="B474" s="20" t="str">
        <f>IF(A474="","",IFERROR(VLOOKUP(A474,PROFESSORES!A:B,2,FALSE),""))</f>
        <v/>
      </c>
      <c r="C474" s="12"/>
      <c r="D474" s="12"/>
      <c r="E474" s="12"/>
      <c r="F474" s="13" t="str">
        <f t="shared" si="1"/>
        <v/>
      </c>
    </row>
    <row r="475" ht="15.75" customHeight="1">
      <c r="A475" s="10"/>
      <c r="B475" s="18" t="str">
        <f>IF(A475="","",IFERROR(VLOOKUP(A475,PROFESSORES!A:B,2,FALSE),""))</f>
        <v/>
      </c>
      <c r="C475" s="10"/>
      <c r="D475" s="10"/>
      <c r="E475" s="10"/>
      <c r="F475" s="11" t="str">
        <f t="shared" si="1"/>
        <v/>
      </c>
    </row>
    <row r="476" ht="15.75" customHeight="1">
      <c r="A476" s="12"/>
      <c r="B476" s="20" t="str">
        <f>IF(A476="","",IFERROR(VLOOKUP(A476,PROFESSORES!A:B,2,FALSE),""))</f>
        <v/>
      </c>
      <c r="C476" s="12"/>
      <c r="D476" s="12"/>
      <c r="E476" s="12"/>
      <c r="F476" s="13" t="str">
        <f t="shared" si="1"/>
        <v/>
      </c>
    </row>
    <row r="477" ht="15.75" customHeight="1">
      <c r="A477" s="10"/>
      <c r="B477" s="18" t="str">
        <f>IF(A477="","",IFERROR(VLOOKUP(A477,PROFESSORES!A:B,2,FALSE),""))</f>
        <v/>
      </c>
      <c r="C477" s="10"/>
      <c r="D477" s="10"/>
      <c r="E477" s="10"/>
      <c r="F477" s="11" t="str">
        <f t="shared" si="1"/>
        <v/>
      </c>
    </row>
    <row r="478" ht="15.75" customHeight="1">
      <c r="A478" s="12"/>
      <c r="B478" s="20" t="str">
        <f>IF(A478="","",IFERROR(VLOOKUP(A478,PROFESSORES!A:B,2,FALSE),""))</f>
        <v/>
      </c>
      <c r="C478" s="12"/>
      <c r="D478" s="12"/>
      <c r="E478" s="12"/>
      <c r="F478" s="13" t="str">
        <f t="shared" si="1"/>
        <v/>
      </c>
    </row>
    <row r="479" ht="15.75" customHeight="1">
      <c r="A479" s="10"/>
      <c r="B479" s="18" t="str">
        <f>IF(A479="","",IFERROR(VLOOKUP(A479,PROFESSORES!A:B,2,FALSE),""))</f>
        <v/>
      </c>
      <c r="C479" s="10"/>
      <c r="D479" s="10"/>
      <c r="E479" s="10"/>
      <c r="F479" s="11" t="str">
        <f t="shared" si="1"/>
        <v/>
      </c>
    </row>
    <row r="480" ht="15.75" customHeight="1">
      <c r="A480" s="12"/>
      <c r="B480" s="20" t="str">
        <f>IF(A480="","",IFERROR(VLOOKUP(A480,PROFESSORES!A:B,2,FALSE),""))</f>
        <v/>
      </c>
      <c r="C480" s="12"/>
      <c r="D480" s="12"/>
      <c r="E480" s="12"/>
      <c r="F480" s="13" t="str">
        <f t="shared" si="1"/>
        <v/>
      </c>
    </row>
    <row r="481" ht="15.75" customHeight="1">
      <c r="A481" s="10"/>
      <c r="B481" s="18" t="str">
        <f>IF(A481="","",IFERROR(VLOOKUP(A481,PROFESSORES!A:B,2,FALSE),""))</f>
        <v/>
      </c>
      <c r="C481" s="10"/>
      <c r="D481" s="10"/>
      <c r="E481" s="10"/>
      <c r="F481" s="11" t="str">
        <f t="shared" si="1"/>
        <v/>
      </c>
    </row>
    <row r="482" ht="15.75" customHeight="1">
      <c r="A482" s="12"/>
      <c r="B482" s="20" t="str">
        <f>IF(A482="","",IFERROR(VLOOKUP(A482,PROFESSORES!A:B,2,FALSE),""))</f>
        <v/>
      </c>
      <c r="C482" s="12"/>
      <c r="D482" s="12"/>
      <c r="E482" s="12"/>
      <c r="F482" s="13" t="str">
        <f t="shared" si="1"/>
        <v/>
      </c>
    </row>
    <row r="483" ht="15.75" customHeight="1">
      <c r="A483" s="10"/>
      <c r="B483" s="18" t="str">
        <f>IF(A483="","",IFERROR(VLOOKUP(A483,PROFESSORES!A:B,2,FALSE),""))</f>
        <v/>
      </c>
      <c r="C483" s="10"/>
      <c r="D483" s="10"/>
      <c r="E483" s="10"/>
      <c r="F483" s="11" t="str">
        <f t="shared" si="1"/>
        <v/>
      </c>
    </row>
    <row r="484" ht="15.75" customHeight="1">
      <c r="A484" s="12"/>
      <c r="B484" s="20" t="str">
        <f>IF(A484="","",IFERROR(VLOOKUP(A484,PROFESSORES!A:B,2,FALSE),""))</f>
        <v/>
      </c>
      <c r="C484" s="12"/>
      <c r="D484" s="12"/>
      <c r="E484" s="12"/>
      <c r="F484" s="13" t="str">
        <f t="shared" si="1"/>
        <v/>
      </c>
    </row>
    <row r="485" ht="15.75" customHeight="1">
      <c r="A485" s="10"/>
      <c r="B485" s="18" t="str">
        <f>IF(A485="","",IFERROR(VLOOKUP(A485,PROFESSORES!A:B,2,FALSE),""))</f>
        <v/>
      </c>
      <c r="C485" s="10"/>
      <c r="D485" s="10"/>
      <c r="E485" s="10"/>
      <c r="F485" s="11" t="str">
        <f t="shared" si="1"/>
        <v/>
      </c>
    </row>
    <row r="486" ht="15.75" customHeight="1">
      <c r="A486" s="12"/>
      <c r="B486" s="20" t="str">
        <f>IF(A486="","",IFERROR(VLOOKUP(A486,PROFESSORES!A:B,2,FALSE),""))</f>
        <v/>
      </c>
      <c r="C486" s="12"/>
      <c r="D486" s="12"/>
      <c r="E486" s="12"/>
      <c r="F486" s="13" t="str">
        <f t="shared" si="1"/>
        <v/>
      </c>
    </row>
    <row r="487" ht="15.75" customHeight="1">
      <c r="A487" s="10"/>
      <c r="B487" s="18" t="str">
        <f>IF(A487="","",IFERROR(VLOOKUP(A487,PROFESSORES!A:B,2,FALSE),""))</f>
        <v/>
      </c>
      <c r="C487" s="10"/>
      <c r="D487" s="10"/>
      <c r="E487" s="10"/>
      <c r="F487" s="11" t="str">
        <f t="shared" si="1"/>
        <v/>
      </c>
    </row>
    <row r="488" ht="15.75" customHeight="1">
      <c r="A488" s="12"/>
      <c r="B488" s="20" t="str">
        <f>IF(A488="","",IFERROR(VLOOKUP(A488,PROFESSORES!A:B,2,FALSE),""))</f>
        <v/>
      </c>
      <c r="C488" s="12"/>
      <c r="D488" s="12"/>
      <c r="E488" s="12"/>
      <c r="F488" s="13" t="str">
        <f t="shared" si="1"/>
        <v/>
      </c>
    </row>
    <row r="489" ht="15.75" customHeight="1">
      <c r="A489" s="10"/>
      <c r="B489" s="18" t="str">
        <f>IF(A489="","",IFERROR(VLOOKUP(A489,PROFESSORES!A:B,2,FALSE),""))</f>
        <v/>
      </c>
      <c r="C489" s="10"/>
      <c r="D489" s="10"/>
      <c r="E489" s="10"/>
      <c r="F489" s="11" t="str">
        <f t="shared" si="1"/>
        <v/>
      </c>
    </row>
    <row r="490" ht="15.75" customHeight="1">
      <c r="A490" s="12"/>
      <c r="B490" s="20" t="str">
        <f>IF(A490="","",IFERROR(VLOOKUP(A490,PROFESSORES!A:B,2,FALSE),""))</f>
        <v/>
      </c>
      <c r="C490" s="12"/>
      <c r="D490" s="12"/>
      <c r="E490" s="12"/>
      <c r="F490" s="13" t="str">
        <f t="shared" si="1"/>
        <v/>
      </c>
    </row>
    <row r="491" ht="15.75" customHeight="1">
      <c r="A491" s="10"/>
      <c r="B491" s="18" t="str">
        <f>IF(A491="","",IFERROR(VLOOKUP(A491,PROFESSORES!A:B,2,FALSE),""))</f>
        <v/>
      </c>
      <c r="C491" s="10"/>
      <c r="D491" s="10"/>
      <c r="E491" s="10"/>
      <c r="F491" s="11" t="str">
        <f t="shared" si="1"/>
        <v/>
      </c>
    </row>
    <row r="492" ht="15.75" customHeight="1">
      <c r="A492" s="12"/>
      <c r="B492" s="20" t="str">
        <f>IF(A492="","",IFERROR(VLOOKUP(A492,PROFESSORES!A:B,2,FALSE),""))</f>
        <v/>
      </c>
      <c r="C492" s="12"/>
      <c r="D492" s="12"/>
      <c r="E492" s="12"/>
      <c r="F492" s="13" t="str">
        <f t="shared" si="1"/>
        <v/>
      </c>
    </row>
    <row r="493" ht="15.75" customHeight="1">
      <c r="A493" s="10"/>
      <c r="B493" s="18" t="str">
        <f>IF(A493="","",IFERROR(VLOOKUP(A493,PROFESSORES!A:B,2,FALSE),""))</f>
        <v/>
      </c>
      <c r="C493" s="10"/>
      <c r="D493" s="10"/>
      <c r="E493" s="10"/>
      <c r="F493" s="11" t="str">
        <f t="shared" si="1"/>
        <v/>
      </c>
    </row>
    <row r="494" ht="15.75" customHeight="1">
      <c r="A494" s="12"/>
      <c r="B494" s="20" t="str">
        <f>IF(A494="","",IFERROR(VLOOKUP(A494,PROFESSORES!A:B,2,FALSE),""))</f>
        <v/>
      </c>
      <c r="C494" s="12"/>
      <c r="D494" s="12"/>
      <c r="E494" s="12"/>
      <c r="F494" s="13" t="str">
        <f t="shared" si="1"/>
        <v/>
      </c>
    </row>
    <row r="495" ht="15.75" customHeight="1">
      <c r="A495" s="10"/>
      <c r="B495" s="18" t="str">
        <f>IF(A495="","",IFERROR(VLOOKUP(A495,PROFESSORES!A:B,2,FALSE),""))</f>
        <v/>
      </c>
      <c r="C495" s="10"/>
      <c r="D495" s="10"/>
      <c r="E495" s="10"/>
      <c r="F495" s="11" t="str">
        <f t="shared" si="1"/>
        <v/>
      </c>
    </row>
    <row r="496" ht="15.75" customHeight="1">
      <c r="A496" s="12"/>
      <c r="B496" s="20" t="str">
        <f>IF(A496="","",IFERROR(VLOOKUP(A496,PROFESSORES!A:B,2,FALSE),""))</f>
        <v/>
      </c>
      <c r="C496" s="12"/>
      <c r="D496" s="12"/>
      <c r="E496" s="12"/>
      <c r="F496" s="13" t="str">
        <f t="shared" si="1"/>
        <v/>
      </c>
    </row>
    <row r="497" ht="15.75" customHeight="1">
      <c r="A497" s="10"/>
      <c r="B497" s="18" t="str">
        <f>IF(A497="","",IFERROR(VLOOKUP(A497,PROFESSORES!A:B,2,FALSE),""))</f>
        <v/>
      </c>
      <c r="C497" s="10"/>
      <c r="D497" s="10"/>
      <c r="E497" s="10"/>
      <c r="F497" s="11" t="str">
        <f t="shared" si="1"/>
        <v/>
      </c>
    </row>
    <row r="498" ht="15.75" customHeight="1">
      <c r="A498" s="12"/>
      <c r="B498" s="20" t="str">
        <f>IF(A498="","",IFERROR(VLOOKUP(A498,PROFESSORES!A:B,2,FALSE),""))</f>
        <v/>
      </c>
      <c r="C498" s="12"/>
      <c r="D498" s="12"/>
      <c r="E498" s="12"/>
      <c r="F498" s="13" t="str">
        <f t="shared" si="1"/>
        <v/>
      </c>
    </row>
    <row r="499" ht="15.75" customHeight="1">
      <c r="A499" s="10"/>
      <c r="B499" s="18" t="str">
        <f>IF(A499="","",IFERROR(VLOOKUP(A499,PROFESSORES!A:B,2,FALSE),""))</f>
        <v/>
      </c>
      <c r="C499" s="10"/>
      <c r="D499" s="10"/>
      <c r="E499" s="10"/>
      <c r="F499" s="11" t="str">
        <f t="shared" si="1"/>
        <v/>
      </c>
    </row>
    <row r="500" ht="15.75" customHeight="1">
      <c r="A500" s="12"/>
      <c r="B500" s="20" t="str">
        <f>IF(A500="","",IFERROR(VLOOKUP(A500,PROFESSORES!A:B,2,FALSE),""))</f>
        <v/>
      </c>
      <c r="C500" s="12"/>
      <c r="D500" s="12"/>
      <c r="E500" s="12"/>
      <c r="F500" s="13" t="str">
        <f t="shared" si="1"/>
        <v/>
      </c>
    </row>
    <row r="501" ht="15.75" customHeight="1">
      <c r="A501" s="10"/>
      <c r="B501" s="18" t="str">
        <f>IF(A501="","",IFERROR(VLOOKUP(A501,PROFESSORES!A:B,2,FALSE),""))</f>
        <v/>
      </c>
      <c r="C501" s="10"/>
      <c r="D501" s="10"/>
      <c r="E501" s="10"/>
      <c r="F501" s="11" t="str">
        <f t="shared" si="1"/>
        <v/>
      </c>
    </row>
    <row r="502" ht="15.75" customHeight="1">
      <c r="A502" s="12"/>
      <c r="B502" s="20" t="str">
        <f>IF(A502="","",IFERROR(VLOOKUP(A502,PROFESSORES!A:B,2,FALSE),""))</f>
        <v/>
      </c>
      <c r="C502" s="12"/>
      <c r="D502" s="12"/>
      <c r="E502" s="12"/>
      <c r="F502" s="13" t="str">
        <f t="shared" si="1"/>
        <v/>
      </c>
    </row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F$502"/>
  <mergeCells count="1">
    <mergeCell ref="A1:F1"/>
  </mergeCells>
  <dataValidations>
    <dataValidation type="list" allowBlank="1" sqref="D3:D502">
      <formula1>"Professor não atende este aluno/turma,Outro"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13.0"/>
    <col customWidth="1" min="3" max="3" width="16.0"/>
    <col customWidth="1" min="4" max="4" width="24.0"/>
    <col customWidth="1" min="5" max="6" width="12.0"/>
    <col customWidth="1" min="7" max="7" width="14.0"/>
    <col customWidth="1" min="8" max="8" width="24.0"/>
    <col customWidth="1" min="9" max="9" width="14.0"/>
    <col customWidth="1" min="10" max="10" width="28.0"/>
    <col customWidth="1" min="11" max="11" width="32.0"/>
    <col customWidth="1" min="12" max="12" width="16.0"/>
    <col customWidth="1" min="13" max="13" width="18.0"/>
    <col customWidth="1" min="14" max="25" width="8.71"/>
  </cols>
  <sheetData>
    <row r="1">
      <c r="A1" s="1" t="s">
        <v>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19</v>
      </c>
      <c r="B2" s="4" t="s">
        <v>20</v>
      </c>
      <c r="C2" s="4" t="s">
        <v>8</v>
      </c>
      <c r="D2" s="4" t="s">
        <v>14</v>
      </c>
      <c r="E2" s="4" t="s">
        <v>9</v>
      </c>
      <c r="F2" s="4" t="s">
        <v>10</v>
      </c>
      <c r="G2" s="4" t="s">
        <v>1</v>
      </c>
      <c r="H2" s="4" t="s">
        <v>2</v>
      </c>
      <c r="I2" s="4" t="s">
        <v>11</v>
      </c>
      <c r="J2" s="4" t="s">
        <v>5</v>
      </c>
      <c r="K2" s="23" t="s">
        <v>12</v>
      </c>
      <c r="L2" s="4" t="s">
        <v>21</v>
      </c>
      <c r="M2" s="4" t="s">
        <v>22</v>
      </c>
    </row>
    <row r="3">
      <c r="A3" s="6"/>
      <c r="B3" s="24"/>
      <c r="C3" s="6" t="str">
        <f t="shared" ref="C3:C7" si="1">IF(B3="","",CHOOSE(WEEKDAY(B3,2),"Segunda","Terça","Quarta","Quinta","Sexta","Sábado","Domingo"))</f>
        <v/>
      </c>
      <c r="D3" s="5"/>
      <c r="E3" s="15"/>
      <c r="F3" s="15"/>
      <c r="G3" s="5"/>
      <c r="H3" s="6" t="str">
        <f>IF(G3="","",IFERROR(VLOOKUP(G3,PROFESSORES!A:B,2,FALSE),""))</f>
        <v/>
      </c>
      <c r="I3" s="5"/>
      <c r="J3" s="10"/>
      <c r="K3" s="11" t="str">
        <f>IF(OR(G3="",C3="",E3="",F3="",I3=""),"",IF(AND((COUNTIFS(DISPONIBILIDADE!A:A,G3,DISPONIBILIDADE!C:C,C3,DISPONIBILIDADE!D:D,"&lt;="&amp;E3,DISPONIBILIDADE!E:E,"&gt;="&amp;F3,DISPONIBILIDADE!F:F,I3,DISPONIBILIDADE!G:G,"Sim")+COUNTIFS(DISPONIBILIDADE!A:A,G3,DISPONIBILIDADE!C:C,C3,DISPONIBILIDADE!D:D,"&lt;="&amp;E3,DISPONIBILIDADE!E:E,"&gt;="&amp;F3,DISPONIBILIDADE!F:F,"Ambas",DISPONIBILIDADE!G:G,"Sim"))&gt;0,COUNTIFS($G$3:$G$502,G3,$B$3:$B$502,B3,$E$3:$E$502,"&lt;"&amp;F3,$F$3:$F$502,"&gt;"&amp;E3,$A$3:$A$502,"&lt;&gt;"&amp;A3)=0),"Sim","Não"))</f>
        <v/>
      </c>
      <c r="L3" s="11" t="str">
        <f>IF(OR(G3="",D3=""),"",IF(COUNTIFS('RESTRIÇÕES'!A:A,G3,'RESTRIÇÕES'!C:C,D3,'RESTRIÇÕES'!F:F,"Sim")&gt;0,"Com restrição","Sem restrição"))</f>
        <v/>
      </c>
      <c r="M3" s="11" t="str">
        <f t="shared" ref="M3:M502" si="2">IF(G3="","",IF(AND(K3="Sim",L3="Sem restrição"),"OK","REVISAR"))</f>
        <v/>
      </c>
    </row>
    <row r="4">
      <c r="A4" s="8"/>
      <c r="B4" s="25"/>
      <c r="C4" s="8" t="str">
        <f t="shared" si="1"/>
        <v/>
      </c>
      <c r="D4" s="7"/>
      <c r="E4" s="17"/>
      <c r="F4" s="17"/>
      <c r="G4" s="7"/>
      <c r="H4" s="8" t="str">
        <f>IF(G4="","",IFERROR(VLOOKUP(G4,PROFESSORES!A:B,2,FALSE),""))</f>
        <v/>
      </c>
      <c r="I4" s="7"/>
      <c r="J4" s="12"/>
      <c r="K4" s="13" t="str">
        <f>IF(OR(G4="",C4="",E4="",F4="",I4=""),"",IF(AND((COUNTIFS(DISPONIBILIDADE!A:A,G4,DISPONIBILIDADE!C:C,C4,DISPONIBILIDADE!D:D,"&lt;="&amp;E4,DISPONIBILIDADE!E:E,"&gt;="&amp;F4,DISPONIBILIDADE!F:F,I4,DISPONIBILIDADE!G:G,"Sim")+COUNTIFS(DISPONIBILIDADE!A:A,G4,DISPONIBILIDADE!C:C,C4,DISPONIBILIDADE!D:D,"&lt;="&amp;E4,DISPONIBILIDADE!E:E,"&gt;="&amp;F4,DISPONIBILIDADE!F:F,"Ambas",DISPONIBILIDADE!G:G,"Sim"))&gt;0,COUNTIFS($G$3:$G$502,G4,$B$3:$B$502,B4,$E$3:$E$502,"&lt;"&amp;F4,$F$3:$F$502,"&gt;"&amp;E4,$A$3:$A$502,"&lt;&gt;"&amp;A4)=0),"Sim","Não"))</f>
        <v/>
      </c>
      <c r="L4" s="13" t="str">
        <f>IF(OR(G4="",D4=""),"",IF(COUNTIFS('RESTRIÇÕES'!A:A,G4,'RESTRIÇÕES'!C:C,D4,'RESTRIÇÕES'!F:F,"Sim")&gt;0,"Com restrição","Sem restrição"))</f>
        <v/>
      </c>
      <c r="M4" s="13" t="str">
        <f t="shared" si="2"/>
        <v/>
      </c>
    </row>
    <row r="5">
      <c r="A5" s="6"/>
      <c r="B5" s="24"/>
      <c r="C5" s="6" t="str">
        <f t="shared" si="1"/>
        <v/>
      </c>
      <c r="D5" s="5"/>
      <c r="E5" s="15"/>
      <c r="F5" s="15"/>
      <c r="G5" s="5"/>
      <c r="H5" s="6" t="str">
        <f>IF(G5="","",IFERROR(VLOOKUP(G5,PROFESSORES!A:B,2,FALSE),""))</f>
        <v/>
      </c>
      <c r="I5" s="5"/>
      <c r="J5" s="10"/>
      <c r="K5" s="11" t="str">
        <f>IF(OR(G5="",C5="",E5="",F5="",I5=""),"",IF(AND((COUNTIFS(DISPONIBILIDADE!A:A,G5,DISPONIBILIDADE!C:C,C5,DISPONIBILIDADE!D:D,"&lt;="&amp;E5,DISPONIBILIDADE!E:E,"&gt;="&amp;F5,DISPONIBILIDADE!F:F,I5,DISPONIBILIDADE!G:G,"Sim")+COUNTIFS(DISPONIBILIDADE!A:A,G5,DISPONIBILIDADE!C:C,C5,DISPONIBILIDADE!D:D,"&lt;="&amp;E5,DISPONIBILIDADE!E:E,"&gt;="&amp;F5,DISPONIBILIDADE!F:F,"Ambas",DISPONIBILIDADE!G:G,"Sim"))&gt;0,COUNTIFS($G$3:$G$502,G5,$B$3:$B$502,B5,$E$3:$E$502,"&lt;"&amp;F5,$F$3:$F$502,"&gt;"&amp;E5,$A$3:$A$502,"&lt;&gt;"&amp;A5)=0),"Sim","Não"))</f>
        <v/>
      </c>
      <c r="L5" s="11" t="str">
        <f>IF(OR(G5="",D5=""),"",IF(COUNTIFS('RESTRIÇÕES'!A:A,G5,'RESTRIÇÕES'!C:C,D5,'RESTRIÇÕES'!F:F,"Sim")&gt;0,"Com restrição","Sem restrição"))</f>
        <v/>
      </c>
      <c r="M5" s="11" t="str">
        <f t="shared" si="2"/>
        <v/>
      </c>
    </row>
    <row r="6">
      <c r="A6" s="8"/>
      <c r="B6" s="25"/>
      <c r="C6" s="8" t="str">
        <f t="shared" si="1"/>
        <v/>
      </c>
      <c r="D6" s="7"/>
      <c r="E6" s="17"/>
      <c r="F6" s="17"/>
      <c r="G6" s="7"/>
      <c r="H6" s="8" t="str">
        <f>IF(G6="","",IFERROR(VLOOKUP(G6,PROFESSORES!A:B,2,FALSE),""))</f>
        <v/>
      </c>
      <c r="I6" s="7"/>
      <c r="J6" s="12"/>
      <c r="K6" s="13" t="str">
        <f>IF(OR(G6="",C6="",E6="",F6="",I6=""),"",IF(AND((COUNTIFS(DISPONIBILIDADE!A:A,G6,DISPONIBILIDADE!C:C,C6,DISPONIBILIDADE!D:D,"&lt;="&amp;E6,DISPONIBILIDADE!E:E,"&gt;="&amp;F6,DISPONIBILIDADE!F:F,I6,DISPONIBILIDADE!G:G,"Sim")+COUNTIFS(DISPONIBILIDADE!A:A,G6,DISPONIBILIDADE!C:C,C6,DISPONIBILIDADE!D:D,"&lt;="&amp;E6,DISPONIBILIDADE!E:E,"&gt;="&amp;F6,DISPONIBILIDADE!F:F,"Ambas",DISPONIBILIDADE!G:G,"Sim"))&gt;0,COUNTIFS($G$3:$G$502,G6,$B$3:$B$502,B6,$E$3:$E$502,"&lt;"&amp;F6,$F$3:$F$502,"&gt;"&amp;E6,$A$3:$A$502,"&lt;&gt;"&amp;A6)=0),"Sim","Não"))</f>
        <v/>
      </c>
      <c r="L6" s="13" t="str">
        <f>IF(OR(G6="",D6=""),"",IF(COUNTIFS('RESTRIÇÕES'!A:A,G6,'RESTRIÇÕES'!C:C,D6,'RESTRIÇÕES'!F:F,"Sim")&gt;0,"Com restrição","Sem restrição"))</f>
        <v/>
      </c>
      <c r="M6" s="13" t="str">
        <f t="shared" si="2"/>
        <v/>
      </c>
    </row>
    <row r="7">
      <c r="A7" s="6"/>
      <c r="B7" s="24"/>
      <c r="C7" s="6" t="str">
        <f t="shared" si="1"/>
        <v/>
      </c>
      <c r="D7" s="5"/>
      <c r="E7" s="15"/>
      <c r="F7" s="15"/>
      <c r="G7" s="26"/>
      <c r="H7" s="6" t="str">
        <f>IF(G7="","",IFERROR(VLOOKUP(G7,PROFESSORES!A:B,2,FALSE),""))</f>
        <v/>
      </c>
      <c r="I7" s="5"/>
      <c r="J7" s="10"/>
      <c r="K7" s="11" t="str">
        <f>IF(OR(G7="",C7="",E7="",F7="",I7=""),"",IF(AND((COUNTIFS(DISPONIBILIDADE!A:A,G7,DISPONIBILIDADE!C:C,C7,DISPONIBILIDADE!D:D,"&lt;="&amp;E7,DISPONIBILIDADE!E:E,"&gt;="&amp;F7,DISPONIBILIDADE!F:F,I7,DISPONIBILIDADE!G:G,"Sim")+COUNTIFS(DISPONIBILIDADE!A:A,G7,DISPONIBILIDADE!C:C,C7,DISPONIBILIDADE!D:D,"&lt;="&amp;E7,DISPONIBILIDADE!E:E,"&gt;="&amp;F7,DISPONIBILIDADE!F:F,"Ambas",DISPONIBILIDADE!G:G,"Sim"))&gt;0,COUNTIFS($G$3:$G$502,G7,$B$3:$B$502,B7,$E$3:$E$502,"&lt;"&amp;F7,$F$3:$F$502,"&gt;"&amp;E7,$A$3:$A$502,"&lt;&gt;"&amp;A7)=0),"Sim","Não"))</f>
        <v/>
      </c>
      <c r="L7" s="11" t="str">
        <f>IF(OR(G7="",D7=""),"",IF(COUNTIFS('RESTRIÇÕES'!A:A,G7,'RESTRIÇÕES'!C:C,D7,'RESTRIÇÕES'!F:F,"Sim")&gt;0,"Com restrição","Sem restrição"))</f>
        <v/>
      </c>
      <c r="M7" s="11" t="str">
        <f t="shared" si="2"/>
        <v/>
      </c>
    </row>
    <row r="8">
      <c r="A8" s="13" t="str">
        <f t="shared" ref="A8:A502" si="3">IF(D8="","","A"&amp;TEXT(ROW()-2,"000"))</f>
        <v/>
      </c>
      <c r="B8" s="27"/>
      <c r="C8" s="13" t="str">
        <f t="shared" ref="C8:C502" si="4">IF(B8="","",CHOOSE(WEEKDAY(B8,2),"Segunda","Terça","Quarta","Quinta","Sexta","Sábado","Domingo"))</f>
        <v/>
      </c>
      <c r="D8" s="12"/>
      <c r="E8" s="21"/>
      <c r="F8" s="21"/>
      <c r="G8" s="12"/>
      <c r="H8" s="13" t="str">
        <f>IF(G8="","",IFERROR(VLOOKUP(G8,PROFESSORES!A:B,2,FALSE),""))</f>
        <v/>
      </c>
      <c r="I8" s="12"/>
      <c r="J8" s="12"/>
      <c r="K8" s="13" t="str">
        <f>IF(OR(G8="",C8="",E8="",F8="",I8=""),"",IF(AND((COUNTIFS(DISPONIBILIDADE!A:A,G8,DISPONIBILIDADE!C:C,C8,DISPONIBILIDADE!D:D,"&lt;="&amp;E8,DISPONIBILIDADE!E:E,"&gt;="&amp;F8,DISPONIBILIDADE!F:F,I8,DISPONIBILIDADE!G:G,"Sim")+COUNTIFS(DISPONIBILIDADE!A:A,G8,DISPONIBILIDADE!C:C,C8,DISPONIBILIDADE!D:D,"&lt;="&amp;E8,DISPONIBILIDADE!E:E,"&gt;="&amp;F8,DISPONIBILIDADE!F:F,"Ambas",DISPONIBILIDADE!G:G,"Sim"))&gt;0,COUNTIFS($G$3:$G$502,G8,$B$3:$B$502,B8,$E$3:$E$502,"&lt;"&amp;F8,$F$3:$F$502,"&gt;"&amp;E8,$A$3:$A$502,"&lt;&gt;"&amp;A8)=0),"Sim","Não"))</f>
        <v/>
      </c>
      <c r="L8" s="13" t="str">
        <f>IF(OR(G8="",D8=""),"",IF(COUNTIFS('RESTRIÇÕES'!A:A,G8,'RESTRIÇÕES'!C:C,D8,'RESTRIÇÕES'!F:F,"Sim")&gt;0,"Com restrição","Sem restrição"))</f>
        <v/>
      </c>
      <c r="M8" s="13" t="str">
        <f t="shared" si="2"/>
        <v/>
      </c>
    </row>
    <row r="9">
      <c r="A9" s="11" t="str">
        <f t="shared" si="3"/>
        <v/>
      </c>
      <c r="B9" s="28"/>
      <c r="C9" s="11" t="str">
        <f t="shared" si="4"/>
        <v/>
      </c>
      <c r="D9" s="10"/>
      <c r="E9" s="19"/>
      <c r="F9" s="19"/>
      <c r="G9" s="10"/>
      <c r="H9" s="11" t="str">
        <f>IF(G9="","",IFERROR(VLOOKUP(G9,PROFESSORES!A:B,2,FALSE),""))</f>
        <v/>
      </c>
      <c r="I9" s="10"/>
      <c r="J9" s="10"/>
      <c r="K9" s="11" t="str">
        <f>IF(OR(G9="",C9="",E9="",F9="",I9=""),"",IF(AND((COUNTIFS(DISPONIBILIDADE!A:A,G9,DISPONIBILIDADE!C:C,C9,DISPONIBILIDADE!D:D,"&lt;="&amp;E9,DISPONIBILIDADE!E:E,"&gt;="&amp;F9,DISPONIBILIDADE!F:F,I9,DISPONIBILIDADE!G:G,"Sim")+COUNTIFS(DISPONIBILIDADE!A:A,G9,DISPONIBILIDADE!C:C,C9,DISPONIBILIDADE!D:D,"&lt;="&amp;E9,DISPONIBILIDADE!E:E,"&gt;="&amp;F9,DISPONIBILIDADE!F:F,"Ambas",DISPONIBILIDADE!G:G,"Sim"))&gt;0,COUNTIFS($G$3:$G$502,G9,$B$3:$B$502,B9,$E$3:$E$502,"&lt;"&amp;F9,$F$3:$F$502,"&gt;"&amp;E9,$A$3:$A$502,"&lt;&gt;"&amp;A9)=0),"Sim","Não"))</f>
        <v/>
      </c>
      <c r="L9" s="11" t="str">
        <f>IF(OR(G9="",D9=""),"",IF(COUNTIFS('RESTRIÇÕES'!A:A,G9,'RESTRIÇÕES'!C:C,D9,'RESTRIÇÕES'!F:F,"Sim")&gt;0,"Com restrição","Sem restrição"))</f>
        <v/>
      </c>
      <c r="M9" s="11" t="str">
        <f t="shared" si="2"/>
        <v/>
      </c>
    </row>
    <row r="10">
      <c r="A10" s="13" t="str">
        <f t="shared" si="3"/>
        <v/>
      </c>
      <c r="B10" s="27"/>
      <c r="C10" s="13" t="str">
        <f t="shared" si="4"/>
        <v/>
      </c>
      <c r="D10" s="12"/>
      <c r="E10" s="21"/>
      <c r="F10" s="21"/>
      <c r="G10" s="12"/>
      <c r="H10" s="13" t="str">
        <f>IF(G10="","",IFERROR(VLOOKUP(G10,PROFESSORES!A:B,2,FALSE),""))</f>
        <v/>
      </c>
      <c r="I10" s="12"/>
      <c r="J10" s="12"/>
      <c r="K10" s="13" t="str">
        <f>IF(OR(G10="",C10="",E10="",F10="",I10=""),"",IF(AND((COUNTIFS(DISPONIBILIDADE!A:A,G10,DISPONIBILIDADE!C:C,C10,DISPONIBILIDADE!D:D,"&lt;="&amp;E10,DISPONIBILIDADE!E:E,"&gt;="&amp;F10,DISPONIBILIDADE!F:F,I10,DISPONIBILIDADE!G:G,"Sim")+COUNTIFS(DISPONIBILIDADE!A:A,G10,DISPONIBILIDADE!C:C,C10,DISPONIBILIDADE!D:D,"&lt;="&amp;E10,DISPONIBILIDADE!E:E,"&gt;="&amp;F10,DISPONIBILIDADE!F:F,"Ambas",DISPONIBILIDADE!G:G,"Sim"))&gt;0,COUNTIFS($G$3:$G$502,G10,$B$3:$B$502,B10,$E$3:$E$502,"&lt;"&amp;F10,$F$3:$F$502,"&gt;"&amp;E10,$A$3:$A$502,"&lt;&gt;"&amp;A10)=0),"Sim","Não"))</f>
        <v/>
      </c>
      <c r="L10" s="13" t="str">
        <f>IF(OR(G10="",D10=""),"",IF(COUNTIFS('RESTRIÇÕES'!A:A,G10,'RESTRIÇÕES'!C:C,D10,'RESTRIÇÕES'!F:F,"Sim")&gt;0,"Com restrição","Sem restrição"))</f>
        <v/>
      </c>
      <c r="M10" s="13" t="str">
        <f t="shared" si="2"/>
        <v/>
      </c>
    </row>
    <row r="11">
      <c r="A11" s="11" t="str">
        <f t="shared" si="3"/>
        <v/>
      </c>
      <c r="B11" s="28"/>
      <c r="C11" s="11" t="str">
        <f t="shared" si="4"/>
        <v/>
      </c>
      <c r="D11" s="10"/>
      <c r="E11" s="19"/>
      <c r="F11" s="19"/>
      <c r="G11" s="10"/>
      <c r="H11" s="11" t="str">
        <f>IF(G11="","",IFERROR(VLOOKUP(G11,PROFESSORES!A:B,2,FALSE),""))</f>
        <v/>
      </c>
      <c r="I11" s="10"/>
      <c r="J11" s="10"/>
      <c r="K11" s="11" t="str">
        <f>IF(OR(G11="",C11="",E11="",F11="",I11=""),"",IF(AND((COUNTIFS(DISPONIBILIDADE!A:A,G11,DISPONIBILIDADE!C:C,C11,DISPONIBILIDADE!D:D,"&lt;="&amp;E11,DISPONIBILIDADE!E:E,"&gt;="&amp;F11,DISPONIBILIDADE!F:F,I11,DISPONIBILIDADE!G:G,"Sim")+COUNTIFS(DISPONIBILIDADE!A:A,G11,DISPONIBILIDADE!C:C,C11,DISPONIBILIDADE!D:D,"&lt;="&amp;E11,DISPONIBILIDADE!E:E,"&gt;="&amp;F11,DISPONIBILIDADE!F:F,"Ambas",DISPONIBILIDADE!G:G,"Sim"))&gt;0,COUNTIFS($G$3:$G$502,G11,$B$3:$B$502,B11,$E$3:$E$502,"&lt;"&amp;F11,$F$3:$F$502,"&gt;"&amp;E11,$A$3:$A$502,"&lt;&gt;"&amp;A11)=0),"Sim","Não"))</f>
        <v/>
      </c>
      <c r="L11" s="11" t="str">
        <f>IF(OR(G11="",D11=""),"",IF(COUNTIFS('RESTRIÇÕES'!A:A,G11,'RESTRIÇÕES'!C:C,D11,'RESTRIÇÕES'!F:F,"Sim")&gt;0,"Com restrição","Sem restrição"))</f>
        <v/>
      </c>
      <c r="M11" s="11" t="str">
        <f t="shared" si="2"/>
        <v/>
      </c>
    </row>
    <row r="12">
      <c r="A12" s="13" t="str">
        <f t="shared" si="3"/>
        <v/>
      </c>
      <c r="B12" s="27"/>
      <c r="C12" s="13" t="str">
        <f t="shared" si="4"/>
        <v/>
      </c>
      <c r="D12" s="12"/>
      <c r="E12" s="21"/>
      <c r="F12" s="21"/>
      <c r="G12" s="12"/>
      <c r="H12" s="13" t="str">
        <f>IF(G12="","",IFERROR(VLOOKUP(G12,PROFESSORES!A:B,2,FALSE),""))</f>
        <v/>
      </c>
      <c r="I12" s="12"/>
      <c r="J12" s="12"/>
      <c r="K12" s="13" t="str">
        <f>IF(OR(G12="",C12="",E12="",F12="",I12=""),"",IF(AND((COUNTIFS(DISPONIBILIDADE!A:A,G12,DISPONIBILIDADE!C:C,C12,DISPONIBILIDADE!D:D,"&lt;="&amp;E12,DISPONIBILIDADE!E:E,"&gt;="&amp;F12,DISPONIBILIDADE!F:F,I12,DISPONIBILIDADE!G:G,"Sim")+COUNTIFS(DISPONIBILIDADE!A:A,G12,DISPONIBILIDADE!C:C,C12,DISPONIBILIDADE!D:D,"&lt;="&amp;E12,DISPONIBILIDADE!E:E,"&gt;="&amp;F12,DISPONIBILIDADE!F:F,"Ambas",DISPONIBILIDADE!G:G,"Sim"))&gt;0,COUNTIFS($G$3:$G$502,G12,$B$3:$B$502,B12,$E$3:$E$502,"&lt;"&amp;F12,$F$3:$F$502,"&gt;"&amp;E12,$A$3:$A$502,"&lt;&gt;"&amp;A12)=0),"Sim","Não"))</f>
        <v/>
      </c>
      <c r="L12" s="13" t="str">
        <f>IF(OR(G12="",D12=""),"",IF(COUNTIFS('RESTRIÇÕES'!A:A,G12,'RESTRIÇÕES'!C:C,D12,'RESTRIÇÕES'!F:F,"Sim")&gt;0,"Com restrição","Sem restrição"))</f>
        <v/>
      </c>
      <c r="M12" s="13" t="str">
        <f t="shared" si="2"/>
        <v/>
      </c>
    </row>
    <row r="13">
      <c r="A13" s="11" t="str">
        <f t="shared" si="3"/>
        <v/>
      </c>
      <c r="B13" s="28"/>
      <c r="C13" s="11" t="str">
        <f t="shared" si="4"/>
        <v/>
      </c>
      <c r="D13" s="10"/>
      <c r="E13" s="19"/>
      <c r="F13" s="19"/>
      <c r="G13" s="10"/>
      <c r="H13" s="11" t="str">
        <f>IF(G13="","",IFERROR(VLOOKUP(G13,PROFESSORES!A:B,2,FALSE),""))</f>
        <v/>
      </c>
      <c r="I13" s="10"/>
      <c r="J13" s="10"/>
      <c r="K13" s="11" t="str">
        <f>IF(OR(G13="",C13="",E13="",F13="",I13=""),"",IF(AND((COUNTIFS(DISPONIBILIDADE!A:A,G13,DISPONIBILIDADE!C:C,C13,DISPONIBILIDADE!D:D,"&lt;="&amp;E13,DISPONIBILIDADE!E:E,"&gt;="&amp;F13,DISPONIBILIDADE!F:F,I13,DISPONIBILIDADE!G:G,"Sim")+COUNTIFS(DISPONIBILIDADE!A:A,G13,DISPONIBILIDADE!C:C,C13,DISPONIBILIDADE!D:D,"&lt;="&amp;E13,DISPONIBILIDADE!E:E,"&gt;="&amp;F13,DISPONIBILIDADE!F:F,"Ambas",DISPONIBILIDADE!G:G,"Sim"))&gt;0,COUNTIFS($G$3:$G$502,G13,$B$3:$B$502,B13,$E$3:$E$502,"&lt;"&amp;F13,$F$3:$F$502,"&gt;"&amp;E13,$A$3:$A$502,"&lt;&gt;"&amp;A13)=0),"Sim","Não"))</f>
        <v/>
      </c>
      <c r="L13" s="11" t="str">
        <f>IF(OR(G13="",D13=""),"",IF(COUNTIFS('RESTRIÇÕES'!A:A,G13,'RESTRIÇÕES'!C:C,D13,'RESTRIÇÕES'!F:F,"Sim")&gt;0,"Com restrição","Sem restrição"))</f>
        <v/>
      </c>
      <c r="M13" s="11" t="str">
        <f t="shared" si="2"/>
        <v/>
      </c>
    </row>
    <row r="14">
      <c r="A14" s="13" t="str">
        <f t="shared" si="3"/>
        <v/>
      </c>
      <c r="B14" s="27"/>
      <c r="C14" s="13" t="str">
        <f t="shared" si="4"/>
        <v/>
      </c>
      <c r="D14" s="12"/>
      <c r="E14" s="21"/>
      <c r="F14" s="21"/>
      <c r="G14" s="12"/>
      <c r="H14" s="13" t="str">
        <f>IF(G14="","",IFERROR(VLOOKUP(G14,PROFESSORES!A:B,2,FALSE),""))</f>
        <v/>
      </c>
      <c r="I14" s="12"/>
      <c r="J14" s="12"/>
      <c r="K14" s="13" t="str">
        <f>IF(OR(G14="",C14="",E14="",F14="",I14=""),"",IF(AND((COUNTIFS(DISPONIBILIDADE!A:A,G14,DISPONIBILIDADE!C:C,C14,DISPONIBILIDADE!D:D,"&lt;="&amp;E14,DISPONIBILIDADE!E:E,"&gt;="&amp;F14,DISPONIBILIDADE!F:F,I14,DISPONIBILIDADE!G:G,"Sim")+COUNTIFS(DISPONIBILIDADE!A:A,G14,DISPONIBILIDADE!C:C,C14,DISPONIBILIDADE!D:D,"&lt;="&amp;E14,DISPONIBILIDADE!E:E,"&gt;="&amp;F14,DISPONIBILIDADE!F:F,"Ambas",DISPONIBILIDADE!G:G,"Sim"))&gt;0,COUNTIFS($G$3:$G$502,G14,$B$3:$B$502,B14,$E$3:$E$502,"&lt;"&amp;F14,$F$3:$F$502,"&gt;"&amp;E14,$A$3:$A$502,"&lt;&gt;"&amp;A14)=0),"Sim","Não"))</f>
        <v/>
      </c>
      <c r="L14" s="13" t="str">
        <f>IF(OR(G14="",D14=""),"",IF(COUNTIFS('RESTRIÇÕES'!A:A,G14,'RESTRIÇÕES'!C:C,D14,'RESTRIÇÕES'!F:F,"Sim")&gt;0,"Com restrição","Sem restrição"))</f>
        <v/>
      </c>
      <c r="M14" s="13" t="str">
        <f t="shared" si="2"/>
        <v/>
      </c>
    </row>
    <row r="15">
      <c r="A15" s="11" t="str">
        <f t="shared" si="3"/>
        <v/>
      </c>
      <c r="B15" s="28"/>
      <c r="C15" s="11" t="str">
        <f t="shared" si="4"/>
        <v/>
      </c>
      <c r="D15" s="10"/>
      <c r="E15" s="19"/>
      <c r="F15" s="19"/>
      <c r="G15" s="10"/>
      <c r="H15" s="11" t="str">
        <f>IF(G15="","",IFERROR(VLOOKUP(G15,PROFESSORES!A:B,2,FALSE),""))</f>
        <v/>
      </c>
      <c r="I15" s="10"/>
      <c r="J15" s="10"/>
      <c r="K15" s="11" t="str">
        <f>IF(OR(G15="",C15="",E15="",F15="",I15=""),"",IF(AND((COUNTIFS(DISPONIBILIDADE!A:A,G15,DISPONIBILIDADE!C:C,C15,DISPONIBILIDADE!D:D,"&lt;="&amp;E15,DISPONIBILIDADE!E:E,"&gt;="&amp;F15,DISPONIBILIDADE!F:F,I15,DISPONIBILIDADE!G:G,"Sim")+COUNTIFS(DISPONIBILIDADE!A:A,G15,DISPONIBILIDADE!C:C,C15,DISPONIBILIDADE!D:D,"&lt;="&amp;E15,DISPONIBILIDADE!E:E,"&gt;="&amp;F15,DISPONIBILIDADE!F:F,"Ambas",DISPONIBILIDADE!G:G,"Sim"))&gt;0,COUNTIFS($G$3:$G$502,G15,$B$3:$B$502,B15,$E$3:$E$502,"&lt;"&amp;F15,$F$3:$F$502,"&gt;"&amp;E15,$A$3:$A$502,"&lt;&gt;"&amp;A15)=0),"Sim","Não"))</f>
        <v/>
      </c>
      <c r="L15" s="11" t="str">
        <f>IF(OR(G15="",D15=""),"",IF(COUNTIFS('RESTRIÇÕES'!A:A,G15,'RESTRIÇÕES'!C:C,D15,'RESTRIÇÕES'!F:F,"Sim")&gt;0,"Com restrição","Sem restrição"))</f>
        <v/>
      </c>
      <c r="M15" s="11" t="str">
        <f t="shared" si="2"/>
        <v/>
      </c>
    </row>
    <row r="16">
      <c r="A16" s="13" t="str">
        <f t="shared" si="3"/>
        <v/>
      </c>
      <c r="B16" s="27"/>
      <c r="C16" s="13" t="str">
        <f t="shared" si="4"/>
        <v/>
      </c>
      <c r="D16" s="12"/>
      <c r="E16" s="21"/>
      <c r="F16" s="21"/>
      <c r="G16" s="12"/>
      <c r="H16" s="13" t="str">
        <f>IF(G16="","",IFERROR(VLOOKUP(G16,PROFESSORES!A:B,2,FALSE),""))</f>
        <v/>
      </c>
      <c r="I16" s="12"/>
      <c r="J16" s="12"/>
      <c r="K16" s="13" t="str">
        <f>IF(OR(G16="",C16="",E16="",F16="",I16=""),"",IF(AND((COUNTIFS(DISPONIBILIDADE!A:A,G16,DISPONIBILIDADE!C:C,C16,DISPONIBILIDADE!D:D,"&lt;="&amp;E16,DISPONIBILIDADE!E:E,"&gt;="&amp;F16,DISPONIBILIDADE!F:F,I16,DISPONIBILIDADE!G:G,"Sim")+COUNTIFS(DISPONIBILIDADE!A:A,G16,DISPONIBILIDADE!C:C,C16,DISPONIBILIDADE!D:D,"&lt;="&amp;E16,DISPONIBILIDADE!E:E,"&gt;="&amp;F16,DISPONIBILIDADE!F:F,"Ambas",DISPONIBILIDADE!G:G,"Sim"))&gt;0,COUNTIFS($G$3:$G$502,G16,$B$3:$B$502,B16,$E$3:$E$502,"&lt;"&amp;F16,$F$3:$F$502,"&gt;"&amp;E16,$A$3:$A$502,"&lt;&gt;"&amp;A16)=0),"Sim","Não"))</f>
        <v/>
      </c>
      <c r="L16" s="13" t="str">
        <f>IF(OR(G16="",D16=""),"",IF(COUNTIFS('RESTRIÇÕES'!A:A,G16,'RESTRIÇÕES'!C:C,D16,'RESTRIÇÕES'!F:F,"Sim")&gt;0,"Com restrição","Sem restrição"))</f>
        <v/>
      </c>
      <c r="M16" s="13" t="str">
        <f t="shared" si="2"/>
        <v/>
      </c>
    </row>
    <row r="17">
      <c r="A17" s="11" t="str">
        <f t="shared" si="3"/>
        <v/>
      </c>
      <c r="B17" s="28"/>
      <c r="C17" s="11" t="str">
        <f t="shared" si="4"/>
        <v/>
      </c>
      <c r="D17" s="10"/>
      <c r="E17" s="19"/>
      <c r="F17" s="19"/>
      <c r="G17" s="10"/>
      <c r="H17" s="11" t="str">
        <f>IF(G17="","",IFERROR(VLOOKUP(G17,PROFESSORES!A:B,2,FALSE),""))</f>
        <v/>
      </c>
      <c r="I17" s="10"/>
      <c r="J17" s="10"/>
      <c r="K17" s="11" t="str">
        <f>IF(OR(G17="",C17="",E17="",F17="",I17=""),"",IF(AND((COUNTIFS(DISPONIBILIDADE!A:A,G17,DISPONIBILIDADE!C:C,C17,DISPONIBILIDADE!D:D,"&lt;="&amp;E17,DISPONIBILIDADE!E:E,"&gt;="&amp;F17,DISPONIBILIDADE!F:F,I17,DISPONIBILIDADE!G:G,"Sim")+COUNTIFS(DISPONIBILIDADE!A:A,G17,DISPONIBILIDADE!C:C,C17,DISPONIBILIDADE!D:D,"&lt;="&amp;E17,DISPONIBILIDADE!E:E,"&gt;="&amp;F17,DISPONIBILIDADE!F:F,"Ambas",DISPONIBILIDADE!G:G,"Sim"))&gt;0,COUNTIFS($G$3:$G$502,G17,$B$3:$B$502,B17,$E$3:$E$502,"&lt;"&amp;F17,$F$3:$F$502,"&gt;"&amp;E17,$A$3:$A$502,"&lt;&gt;"&amp;A17)=0),"Sim","Não"))</f>
        <v/>
      </c>
      <c r="L17" s="11" t="str">
        <f>IF(OR(G17="",D17=""),"",IF(COUNTIFS('RESTRIÇÕES'!A:A,G17,'RESTRIÇÕES'!C:C,D17,'RESTRIÇÕES'!F:F,"Sim")&gt;0,"Com restrição","Sem restrição"))</f>
        <v/>
      </c>
      <c r="M17" s="11" t="str">
        <f t="shared" si="2"/>
        <v/>
      </c>
    </row>
    <row r="18">
      <c r="A18" s="13" t="str">
        <f t="shared" si="3"/>
        <v/>
      </c>
      <c r="B18" s="27"/>
      <c r="C18" s="13" t="str">
        <f t="shared" si="4"/>
        <v/>
      </c>
      <c r="D18" s="12"/>
      <c r="E18" s="21"/>
      <c r="F18" s="21"/>
      <c r="G18" s="12"/>
      <c r="H18" s="13" t="str">
        <f>IF(G18="","",IFERROR(VLOOKUP(G18,PROFESSORES!A:B,2,FALSE),""))</f>
        <v/>
      </c>
      <c r="I18" s="12"/>
      <c r="J18" s="12"/>
      <c r="K18" s="13" t="str">
        <f>IF(OR(G18="",C18="",E18="",F18="",I18=""),"",IF(AND((COUNTIFS(DISPONIBILIDADE!A:A,G18,DISPONIBILIDADE!C:C,C18,DISPONIBILIDADE!D:D,"&lt;="&amp;E18,DISPONIBILIDADE!E:E,"&gt;="&amp;F18,DISPONIBILIDADE!F:F,I18,DISPONIBILIDADE!G:G,"Sim")+COUNTIFS(DISPONIBILIDADE!A:A,G18,DISPONIBILIDADE!C:C,C18,DISPONIBILIDADE!D:D,"&lt;="&amp;E18,DISPONIBILIDADE!E:E,"&gt;="&amp;F18,DISPONIBILIDADE!F:F,"Ambas",DISPONIBILIDADE!G:G,"Sim"))&gt;0,COUNTIFS($G$3:$G$502,G18,$B$3:$B$502,B18,$E$3:$E$502,"&lt;"&amp;F18,$F$3:$F$502,"&gt;"&amp;E18,$A$3:$A$502,"&lt;&gt;"&amp;A18)=0),"Sim","Não"))</f>
        <v/>
      </c>
      <c r="L18" s="13" t="str">
        <f>IF(OR(G18="",D18=""),"",IF(COUNTIFS('RESTRIÇÕES'!A:A,G18,'RESTRIÇÕES'!C:C,D18,'RESTRIÇÕES'!F:F,"Sim")&gt;0,"Com restrição","Sem restrição"))</f>
        <v/>
      </c>
      <c r="M18" s="13" t="str">
        <f t="shared" si="2"/>
        <v/>
      </c>
    </row>
    <row r="19">
      <c r="A19" s="11" t="str">
        <f t="shared" si="3"/>
        <v/>
      </c>
      <c r="B19" s="28"/>
      <c r="C19" s="11" t="str">
        <f t="shared" si="4"/>
        <v/>
      </c>
      <c r="D19" s="10"/>
      <c r="E19" s="19"/>
      <c r="F19" s="19"/>
      <c r="G19" s="10"/>
      <c r="H19" s="11" t="str">
        <f>IF(G19="","",IFERROR(VLOOKUP(G19,PROFESSORES!A:B,2,FALSE),""))</f>
        <v/>
      </c>
      <c r="I19" s="10"/>
      <c r="J19" s="10"/>
      <c r="K19" s="11" t="str">
        <f>IF(OR(G19="",C19="",E19="",F19="",I19=""),"",IF(AND((COUNTIFS(DISPONIBILIDADE!A:A,G19,DISPONIBILIDADE!C:C,C19,DISPONIBILIDADE!D:D,"&lt;="&amp;E19,DISPONIBILIDADE!E:E,"&gt;="&amp;F19,DISPONIBILIDADE!F:F,I19,DISPONIBILIDADE!G:G,"Sim")+COUNTIFS(DISPONIBILIDADE!A:A,G19,DISPONIBILIDADE!C:C,C19,DISPONIBILIDADE!D:D,"&lt;="&amp;E19,DISPONIBILIDADE!E:E,"&gt;="&amp;F19,DISPONIBILIDADE!F:F,"Ambas",DISPONIBILIDADE!G:G,"Sim"))&gt;0,COUNTIFS($G$3:$G$502,G19,$B$3:$B$502,B19,$E$3:$E$502,"&lt;"&amp;F19,$F$3:$F$502,"&gt;"&amp;E19,$A$3:$A$502,"&lt;&gt;"&amp;A19)=0),"Sim","Não"))</f>
        <v/>
      </c>
      <c r="L19" s="11" t="str">
        <f>IF(OR(G19="",D19=""),"",IF(COUNTIFS('RESTRIÇÕES'!A:A,G19,'RESTRIÇÕES'!C:C,D19,'RESTRIÇÕES'!F:F,"Sim")&gt;0,"Com restrição","Sem restrição"))</f>
        <v/>
      </c>
      <c r="M19" s="11" t="str">
        <f t="shared" si="2"/>
        <v/>
      </c>
    </row>
    <row r="20">
      <c r="A20" s="13" t="str">
        <f t="shared" si="3"/>
        <v/>
      </c>
      <c r="B20" s="27"/>
      <c r="C20" s="13" t="str">
        <f t="shared" si="4"/>
        <v/>
      </c>
      <c r="D20" s="12"/>
      <c r="E20" s="21"/>
      <c r="F20" s="21"/>
      <c r="G20" s="12"/>
      <c r="H20" s="13" t="str">
        <f>IF(G20="","",IFERROR(VLOOKUP(G20,PROFESSORES!A:B,2,FALSE),""))</f>
        <v/>
      </c>
      <c r="I20" s="12"/>
      <c r="J20" s="12"/>
      <c r="K20" s="13" t="str">
        <f>IF(OR(G20="",C20="",E20="",F20="",I20=""),"",IF(AND((COUNTIFS(DISPONIBILIDADE!A:A,G20,DISPONIBILIDADE!C:C,C20,DISPONIBILIDADE!D:D,"&lt;="&amp;E20,DISPONIBILIDADE!E:E,"&gt;="&amp;F20,DISPONIBILIDADE!F:F,I20,DISPONIBILIDADE!G:G,"Sim")+COUNTIFS(DISPONIBILIDADE!A:A,G20,DISPONIBILIDADE!C:C,C20,DISPONIBILIDADE!D:D,"&lt;="&amp;E20,DISPONIBILIDADE!E:E,"&gt;="&amp;F20,DISPONIBILIDADE!F:F,"Ambas",DISPONIBILIDADE!G:G,"Sim"))&gt;0,COUNTIFS($G$3:$G$502,G20,$B$3:$B$502,B20,$E$3:$E$502,"&lt;"&amp;F20,$F$3:$F$502,"&gt;"&amp;E20,$A$3:$A$502,"&lt;&gt;"&amp;A20)=0),"Sim","Não"))</f>
        <v/>
      </c>
      <c r="L20" s="13" t="str">
        <f>IF(OR(G20="",D20=""),"",IF(COUNTIFS('RESTRIÇÕES'!A:A,G20,'RESTRIÇÕES'!C:C,D20,'RESTRIÇÕES'!F:F,"Sim")&gt;0,"Com restrição","Sem restrição"))</f>
        <v/>
      </c>
      <c r="M20" s="13" t="str">
        <f t="shared" si="2"/>
        <v/>
      </c>
    </row>
    <row r="21" ht="15.75" customHeight="1">
      <c r="A21" s="11" t="str">
        <f t="shared" si="3"/>
        <v/>
      </c>
      <c r="B21" s="28"/>
      <c r="C21" s="11" t="str">
        <f t="shared" si="4"/>
        <v/>
      </c>
      <c r="D21" s="10"/>
      <c r="E21" s="19"/>
      <c r="F21" s="19"/>
      <c r="G21" s="10"/>
      <c r="H21" s="11" t="str">
        <f>IF(G21="","",IFERROR(VLOOKUP(G21,PROFESSORES!A:B,2,FALSE),""))</f>
        <v/>
      </c>
      <c r="I21" s="10"/>
      <c r="J21" s="10"/>
      <c r="K21" s="11" t="str">
        <f>IF(OR(G21="",C21="",E21="",F21="",I21=""),"",IF(AND((COUNTIFS(DISPONIBILIDADE!A:A,G21,DISPONIBILIDADE!C:C,C21,DISPONIBILIDADE!D:D,"&lt;="&amp;E21,DISPONIBILIDADE!E:E,"&gt;="&amp;F21,DISPONIBILIDADE!F:F,I21,DISPONIBILIDADE!G:G,"Sim")+COUNTIFS(DISPONIBILIDADE!A:A,G21,DISPONIBILIDADE!C:C,C21,DISPONIBILIDADE!D:D,"&lt;="&amp;E21,DISPONIBILIDADE!E:E,"&gt;="&amp;F21,DISPONIBILIDADE!F:F,"Ambas",DISPONIBILIDADE!G:G,"Sim"))&gt;0,COUNTIFS($G$3:$G$502,G21,$B$3:$B$502,B21,$E$3:$E$502,"&lt;"&amp;F21,$F$3:$F$502,"&gt;"&amp;E21,$A$3:$A$502,"&lt;&gt;"&amp;A21)=0),"Sim","Não"))</f>
        <v/>
      </c>
      <c r="L21" s="11" t="str">
        <f>IF(OR(G21="",D21=""),"",IF(COUNTIFS('RESTRIÇÕES'!A:A,G21,'RESTRIÇÕES'!C:C,D21,'RESTRIÇÕES'!F:F,"Sim")&gt;0,"Com restrição","Sem restrição"))</f>
        <v/>
      </c>
      <c r="M21" s="11" t="str">
        <f t="shared" si="2"/>
        <v/>
      </c>
    </row>
    <row r="22" ht="15.75" customHeight="1">
      <c r="A22" s="13" t="str">
        <f t="shared" si="3"/>
        <v/>
      </c>
      <c r="B22" s="27"/>
      <c r="C22" s="13" t="str">
        <f t="shared" si="4"/>
        <v/>
      </c>
      <c r="D22" s="12"/>
      <c r="E22" s="21"/>
      <c r="F22" s="21"/>
      <c r="G22" s="12"/>
      <c r="H22" s="13" t="str">
        <f>IF(G22="","",IFERROR(VLOOKUP(G22,PROFESSORES!A:B,2,FALSE),""))</f>
        <v/>
      </c>
      <c r="I22" s="12"/>
      <c r="J22" s="12"/>
      <c r="K22" s="13" t="str">
        <f>IF(OR(G22="",C22="",E22="",F22="",I22=""),"",IF(AND((COUNTIFS(DISPONIBILIDADE!A:A,G22,DISPONIBILIDADE!C:C,C22,DISPONIBILIDADE!D:D,"&lt;="&amp;E22,DISPONIBILIDADE!E:E,"&gt;="&amp;F22,DISPONIBILIDADE!F:F,I22,DISPONIBILIDADE!G:G,"Sim")+COUNTIFS(DISPONIBILIDADE!A:A,G22,DISPONIBILIDADE!C:C,C22,DISPONIBILIDADE!D:D,"&lt;="&amp;E22,DISPONIBILIDADE!E:E,"&gt;="&amp;F22,DISPONIBILIDADE!F:F,"Ambas",DISPONIBILIDADE!G:G,"Sim"))&gt;0,COUNTIFS($G$3:$G$502,G22,$B$3:$B$502,B22,$E$3:$E$502,"&lt;"&amp;F22,$F$3:$F$502,"&gt;"&amp;E22,$A$3:$A$502,"&lt;&gt;"&amp;A22)=0),"Sim","Não"))</f>
        <v/>
      </c>
      <c r="L22" s="13" t="str">
        <f>IF(OR(G22="",D22=""),"",IF(COUNTIFS('RESTRIÇÕES'!A:A,G22,'RESTRIÇÕES'!C:C,D22,'RESTRIÇÕES'!F:F,"Sim")&gt;0,"Com restrição","Sem restrição"))</f>
        <v/>
      </c>
      <c r="M22" s="13" t="str">
        <f t="shared" si="2"/>
        <v/>
      </c>
    </row>
    <row r="23" ht="15.75" customHeight="1">
      <c r="A23" s="11" t="str">
        <f t="shared" si="3"/>
        <v/>
      </c>
      <c r="B23" s="28"/>
      <c r="C23" s="11" t="str">
        <f t="shared" si="4"/>
        <v/>
      </c>
      <c r="D23" s="10"/>
      <c r="E23" s="19"/>
      <c r="F23" s="19"/>
      <c r="G23" s="10"/>
      <c r="H23" s="11" t="str">
        <f>IF(G23="","",IFERROR(VLOOKUP(G23,PROFESSORES!A:B,2,FALSE),""))</f>
        <v/>
      </c>
      <c r="I23" s="10"/>
      <c r="J23" s="10"/>
      <c r="K23" s="11" t="str">
        <f>IF(OR(G23="",C23="",E23="",F23="",I23=""),"",IF(AND((COUNTIFS(DISPONIBILIDADE!A:A,G23,DISPONIBILIDADE!C:C,C23,DISPONIBILIDADE!D:D,"&lt;="&amp;E23,DISPONIBILIDADE!E:E,"&gt;="&amp;F23,DISPONIBILIDADE!F:F,I23,DISPONIBILIDADE!G:G,"Sim")+COUNTIFS(DISPONIBILIDADE!A:A,G23,DISPONIBILIDADE!C:C,C23,DISPONIBILIDADE!D:D,"&lt;="&amp;E23,DISPONIBILIDADE!E:E,"&gt;="&amp;F23,DISPONIBILIDADE!F:F,"Ambas",DISPONIBILIDADE!G:G,"Sim"))&gt;0,COUNTIFS($G$3:$G$502,G23,$B$3:$B$502,B23,$E$3:$E$502,"&lt;"&amp;F23,$F$3:$F$502,"&gt;"&amp;E23,$A$3:$A$502,"&lt;&gt;"&amp;A23)=0),"Sim","Não"))</f>
        <v/>
      </c>
      <c r="L23" s="11" t="str">
        <f>IF(OR(G23="",D23=""),"",IF(COUNTIFS('RESTRIÇÕES'!A:A,G23,'RESTRIÇÕES'!C:C,D23,'RESTRIÇÕES'!F:F,"Sim")&gt;0,"Com restrição","Sem restrição"))</f>
        <v/>
      </c>
      <c r="M23" s="11" t="str">
        <f t="shared" si="2"/>
        <v/>
      </c>
    </row>
    <row r="24" ht="15.75" customHeight="1">
      <c r="A24" s="13" t="str">
        <f t="shared" si="3"/>
        <v/>
      </c>
      <c r="B24" s="27"/>
      <c r="C24" s="13" t="str">
        <f t="shared" si="4"/>
        <v/>
      </c>
      <c r="D24" s="12"/>
      <c r="E24" s="21"/>
      <c r="F24" s="21"/>
      <c r="G24" s="12"/>
      <c r="H24" s="13" t="str">
        <f>IF(G24="","",IFERROR(VLOOKUP(G24,PROFESSORES!A:B,2,FALSE),""))</f>
        <v/>
      </c>
      <c r="I24" s="12"/>
      <c r="J24" s="12"/>
      <c r="K24" s="13" t="str">
        <f>IF(OR(G24="",C24="",E24="",F24="",I24=""),"",IF(AND((COUNTIFS(DISPONIBILIDADE!A:A,G24,DISPONIBILIDADE!C:C,C24,DISPONIBILIDADE!D:D,"&lt;="&amp;E24,DISPONIBILIDADE!E:E,"&gt;="&amp;F24,DISPONIBILIDADE!F:F,I24,DISPONIBILIDADE!G:G,"Sim")+COUNTIFS(DISPONIBILIDADE!A:A,G24,DISPONIBILIDADE!C:C,C24,DISPONIBILIDADE!D:D,"&lt;="&amp;E24,DISPONIBILIDADE!E:E,"&gt;="&amp;F24,DISPONIBILIDADE!F:F,"Ambas",DISPONIBILIDADE!G:G,"Sim"))&gt;0,COUNTIFS($G$3:$G$502,G24,$B$3:$B$502,B24,$E$3:$E$502,"&lt;"&amp;F24,$F$3:$F$502,"&gt;"&amp;E24,$A$3:$A$502,"&lt;&gt;"&amp;A24)=0),"Sim","Não"))</f>
        <v/>
      </c>
      <c r="L24" s="13" t="str">
        <f>IF(OR(G24="",D24=""),"",IF(COUNTIFS('RESTRIÇÕES'!A:A,G24,'RESTRIÇÕES'!C:C,D24,'RESTRIÇÕES'!F:F,"Sim")&gt;0,"Com restrição","Sem restrição"))</f>
        <v/>
      </c>
      <c r="M24" s="13" t="str">
        <f t="shared" si="2"/>
        <v/>
      </c>
    </row>
    <row r="25" ht="15.75" customHeight="1">
      <c r="A25" s="11" t="str">
        <f t="shared" si="3"/>
        <v/>
      </c>
      <c r="B25" s="28"/>
      <c r="C25" s="11" t="str">
        <f t="shared" si="4"/>
        <v/>
      </c>
      <c r="D25" s="10"/>
      <c r="E25" s="19"/>
      <c r="F25" s="19"/>
      <c r="G25" s="10"/>
      <c r="H25" s="11" t="str">
        <f>IF(G25="","",IFERROR(VLOOKUP(G25,PROFESSORES!A:B,2,FALSE),""))</f>
        <v/>
      </c>
      <c r="I25" s="10"/>
      <c r="J25" s="10"/>
      <c r="K25" s="11" t="str">
        <f>IF(OR(G25="",C25="",E25="",F25="",I25=""),"",IF(AND((COUNTIFS(DISPONIBILIDADE!A:A,G25,DISPONIBILIDADE!C:C,C25,DISPONIBILIDADE!D:D,"&lt;="&amp;E25,DISPONIBILIDADE!E:E,"&gt;="&amp;F25,DISPONIBILIDADE!F:F,I25,DISPONIBILIDADE!G:G,"Sim")+COUNTIFS(DISPONIBILIDADE!A:A,G25,DISPONIBILIDADE!C:C,C25,DISPONIBILIDADE!D:D,"&lt;="&amp;E25,DISPONIBILIDADE!E:E,"&gt;="&amp;F25,DISPONIBILIDADE!F:F,"Ambas",DISPONIBILIDADE!G:G,"Sim"))&gt;0,COUNTIFS($G$3:$G$502,G25,$B$3:$B$502,B25,$E$3:$E$502,"&lt;"&amp;F25,$F$3:$F$502,"&gt;"&amp;E25,$A$3:$A$502,"&lt;&gt;"&amp;A25)=0),"Sim","Não"))</f>
        <v/>
      </c>
      <c r="L25" s="11" t="str">
        <f>IF(OR(G25="",D25=""),"",IF(COUNTIFS('RESTRIÇÕES'!A:A,G25,'RESTRIÇÕES'!C:C,D25,'RESTRIÇÕES'!F:F,"Sim")&gt;0,"Com restrição","Sem restrição"))</f>
        <v/>
      </c>
      <c r="M25" s="11" t="str">
        <f t="shared" si="2"/>
        <v/>
      </c>
    </row>
    <row r="26" ht="15.75" customHeight="1">
      <c r="A26" s="13" t="str">
        <f t="shared" si="3"/>
        <v/>
      </c>
      <c r="B26" s="27"/>
      <c r="C26" s="13" t="str">
        <f t="shared" si="4"/>
        <v/>
      </c>
      <c r="D26" s="12"/>
      <c r="E26" s="21"/>
      <c r="F26" s="21"/>
      <c r="G26" s="12"/>
      <c r="H26" s="13" t="str">
        <f>IF(G26="","",IFERROR(VLOOKUP(G26,PROFESSORES!A:B,2,FALSE),""))</f>
        <v/>
      </c>
      <c r="I26" s="12"/>
      <c r="J26" s="12"/>
      <c r="K26" s="13" t="str">
        <f>IF(OR(G26="",C26="",E26="",F26="",I26=""),"",IF(AND((COUNTIFS(DISPONIBILIDADE!A:A,G26,DISPONIBILIDADE!C:C,C26,DISPONIBILIDADE!D:D,"&lt;="&amp;E26,DISPONIBILIDADE!E:E,"&gt;="&amp;F26,DISPONIBILIDADE!F:F,I26,DISPONIBILIDADE!G:G,"Sim")+COUNTIFS(DISPONIBILIDADE!A:A,G26,DISPONIBILIDADE!C:C,C26,DISPONIBILIDADE!D:D,"&lt;="&amp;E26,DISPONIBILIDADE!E:E,"&gt;="&amp;F26,DISPONIBILIDADE!F:F,"Ambas",DISPONIBILIDADE!G:G,"Sim"))&gt;0,COUNTIFS($G$3:$G$502,G26,$B$3:$B$502,B26,$E$3:$E$502,"&lt;"&amp;F26,$F$3:$F$502,"&gt;"&amp;E26,$A$3:$A$502,"&lt;&gt;"&amp;A26)=0),"Sim","Não"))</f>
        <v/>
      </c>
      <c r="L26" s="13" t="str">
        <f>IF(OR(G26="",D26=""),"",IF(COUNTIFS('RESTRIÇÕES'!A:A,G26,'RESTRIÇÕES'!C:C,D26,'RESTRIÇÕES'!F:F,"Sim")&gt;0,"Com restrição","Sem restrição"))</f>
        <v/>
      </c>
      <c r="M26" s="13" t="str">
        <f t="shared" si="2"/>
        <v/>
      </c>
    </row>
    <row r="27" ht="15.75" customHeight="1">
      <c r="A27" s="11" t="str">
        <f t="shared" si="3"/>
        <v/>
      </c>
      <c r="B27" s="28"/>
      <c r="C27" s="11" t="str">
        <f t="shared" si="4"/>
        <v/>
      </c>
      <c r="D27" s="10"/>
      <c r="E27" s="19"/>
      <c r="F27" s="19"/>
      <c r="G27" s="10"/>
      <c r="H27" s="11" t="str">
        <f>IF(G27="","",IFERROR(VLOOKUP(G27,PROFESSORES!A:B,2,FALSE),""))</f>
        <v/>
      </c>
      <c r="I27" s="10"/>
      <c r="J27" s="10"/>
      <c r="K27" s="11" t="str">
        <f>IF(OR(G27="",C27="",E27="",F27="",I27=""),"",IF(AND((COUNTIFS(DISPONIBILIDADE!A:A,G27,DISPONIBILIDADE!C:C,C27,DISPONIBILIDADE!D:D,"&lt;="&amp;E27,DISPONIBILIDADE!E:E,"&gt;="&amp;F27,DISPONIBILIDADE!F:F,I27,DISPONIBILIDADE!G:G,"Sim")+COUNTIFS(DISPONIBILIDADE!A:A,G27,DISPONIBILIDADE!C:C,C27,DISPONIBILIDADE!D:D,"&lt;="&amp;E27,DISPONIBILIDADE!E:E,"&gt;="&amp;F27,DISPONIBILIDADE!F:F,"Ambas",DISPONIBILIDADE!G:G,"Sim"))&gt;0,COUNTIFS($G$3:$G$502,G27,$B$3:$B$502,B27,$E$3:$E$502,"&lt;"&amp;F27,$F$3:$F$502,"&gt;"&amp;E27,$A$3:$A$502,"&lt;&gt;"&amp;A27)=0),"Sim","Não"))</f>
        <v/>
      </c>
      <c r="L27" s="11" t="str">
        <f>IF(OR(G27="",D27=""),"",IF(COUNTIFS('RESTRIÇÕES'!A:A,G27,'RESTRIÇÕES'!C:C,D27,'RESTRIÇÕES'!F:F,"Sim")&gt;0,"Com restrição","Sem restrição"))</f>
        <v/>
      </c>
      <c r="M27" s="11" t="str">
        <f t="shared" si="2"/>
        <v/>
      </c>
    </row>
    <row r="28" ht="15.75" customHeight="1">
      <c r="A28" s="13" t="str">
        <f t="shared" si="3"/>
        <v/>
      </c>
      <c r="B28" s="27"/>
      <c r="C28" s="13" t="str">
        <f t="shared" si="4"/>
        <v/>
      </c>
      <c r="D28" s="12"/>
      <c r="E28" s="21"/>
      <c r="F28" s="21"/>
      <c r="G28" s="12"/>
      <c r="H28" s="13" t="str">
        <f>IF(G28="","",IFERROR(VLOOKUP(G28,PROFESSORES!A:B,2,FALSE),""))</f>
        <v/>
      </c>
      <c r="I28" s="12"/>
      <c r="J28" s="12"/>
      <c r="K28" s="13" t="str">
        <f>IF(OR(G28="",C28="",E28="",F28="",I28=""),"",IF(AND((COUNTIFS(DISPONIBILIDADE!A:A,G28,DISPONIBILIDADE!C:C,C28,DISPONIBILIDADE!D:D,"&lt;="&amp;E28,DISPONIBILIDADE!E:E,"&gt;="&amp;F28,DISPONIBILIDADE!F:F,I28,DISPONIBILIDADE!G:G,"Sim")+COUNTIFS(DISPONIBILIDADE!A:A,G28,DISPONIBILIDADE!C:C,C28,DISPONIBILIDADE!D:D,"&lt;="&amp;E28,DISPONIBILIDADE!E:E,"&gt;="&amp;F28,DISPONIBILIDADE!F:F,"Ambas",DISPONIBILIDADE!G:G,"Sim"))&gt;0,COUNTIFS($G$3:$G$502,G28,$B$3:$B$502,B28,$E$3:$E$502,"&lt;"&amp;F28,$F$3:$F$502,"&gt;"&amp;E28,$A$3:$A$502,"&lt;&gt;"&amp;A28)=0),"Sim","Não"))</f>
        <v/>
      </c>
      <c r="L28" s="13" t="str">
        <f>IF(OR(G28="",D28=""),"",IF(COUNTIFS('RESTRIÇÕES'!A:A,G28,'RESTRIÇÕES'!C:C,D28,'RESTRIÇÕES'!F:F,"Sim")&gt;0,"Com restrição","Sem restrição"))</f>
        <v/>
      </c>
      <c r="M28" s="13" t="str">
        <f t="shared" si="2"/>
        <v/>
      </c>
    </row>
    <row r="29" ht="15.75" customHeight="1">
      <c r="A29" s="11" t="str">
        <f t="shared" si="3"/>
        <v/>
      </c>
      <c r="B29" s="28"/>
      <c r="C29" s="11" t="str">
        <f t="shared" si="4"/>
        <v/>
      </c>
      <c r="D29" s="10"/>
      <c r="E29" s="19"/>
      <c r="F29" s="19"/>
      <c r="G29" s="10"/>
      <c r="H29" s="11" t="str">
        <f>IF(G29="","",IFERROR(VLOOKUP(G29,PROFESSORES!A:B,2,FALSE),""))</f>
        <v/>
      </c>
      <c r="I29" s="10"/>
      <c r="J29" s="10"/>
      <c r="K29" s="11" t="str">
        <f>IF(OR(G29="",C29="",E29="",F29="",I29=""),"",IF(AND((COUNTIFS(DISPONIBILIDADE!A:A,G29,DISPONIBILIDADE!C:C,C29,DISPONIBILIDADE!D:D,"&lt;="&amp;E29,DISPONIBILIDADE!E:E,"&gt;="&amp;F29,DISPONIBILIDADE!F:F,I29,DISPONIBILIDADE!G:G,"Sim")+COUNTIFS(DISPONIBILIDADE!A:A,G29,DISPONIBILIDADE!C:C,C29,DISPONIBILIDADE!D:D,"&lt;="&amp;E29,DISPONIBILIDADE!E:E,"&gt;="&amp;F29,DISPONIBILIDADE!F:F,"Ambas",DISPONIBILIDADE!G:G,"Sim"))&gt;0,COUNTIFS($G$3:$G$502,G29,$B$3:$B$502,B29,$E$3:$E$502,"&lt;"&amp;F29,$F$3:$F$502,"&gt;"&amp;E29,$A$3:$A$502,"&lt;&gt;"&amp;A29)=0),"Sim","Não"))</f>
        <v/>
      </c>
      <c r="L29" s="11" t="str">
        <f>IF(OR(G29="",D29=""),"",IF(COUNTIFS('RESTRIÇÕES'!A:A,G29,'RESTRIÇÕES'!C:C,D29,'RESTRIÇÕES'!F:F,"Sim")&gt;0,"Com restrição","Sem restrição"))</f>
        <v/>
      </c>
      <c r="M29" s="11" t="str">
        <f t="shared" si="2"/>
        <v/>
      </c>
    </row>
    <row r="30" ht="15.75" customHeight="1">
      <c r="A30" s="13" t="str">
        <f t="shared" si="3"/>
        <v/>
      </c>
      <c r="B30" s="27"/>
      <c r="C30" s="13" t="str">
        <f t="shared" si="4"/>
        <v/>
      </c>
      <c r="D30" s="12"/>
      <c r="E30" s="21"/>
      <c r="F30" s="21"/>
      <c r="G30" s="12"/>
      <c r="H30" s="13" t="str">
        <f>IF(G30="","",IFERROR(VLOOKUP(G30,PROFESSORES!A:B,2,FALSE),""))</f>
        <v/>
      </c>
      <c r="I30" s="12"/>
      <c r="J30" s="12"/>
      <c r="K30" s="13" t="str">
        <f>IF(OR(G30="",C30="",E30="",F30="",I30=""),"",IF(AND((COUNTIFS(DISPONIBILIDADE!A:A,G30,DISPONIBILIDADE!C:C,C30,DISPONIBILIDADE!D:D,"&lt;="&amp;E30,DISPONIBILIDADE!E:E,"&gt;="&amp;F30,DISPONIBILIDADE!F:F,I30,DISPONIBILIDADE!G:G,"Sim")+COUNTIFS(DISPONIBILIDADE!A:A,G30,DISPONIBILIDADE!C:C,C30,DISPONIBILIDADE!D:D,"&lt;="&amp;E30,DISPONIBILIDADE!E:E,"&gt;="&amp;F30,DISPONIBILIDADE!F:F,"Ambas",DISPONIBILIDADE!G:G,"Sim"))&gt;0,COUNTIFS($G$3:$G$502,G30,$B$3:$B$502,B30,$E$3:$E$502,"&lt;"&amp;F30,$F$3:$F$502,"&gt;"&amp;E30,$A$3:$A$502,"&lt;&gt;"&amp;A30)=0),"Sim","Não"))</f>
        <v/>
      </c>
      <c r="L30" s="13" t="str">
        <f>IF(OR(G30="",D30=""),"",IF(COUNTIFS('RESTRIÇÕES'!A:A,G30,'RESTRIÇÕES'!C:C,D30,'RESTRIÇÕES'!F:F,"Sim")&gt;0,"Com restrição","Sem restrição"))</f>
        <v/>
      </c>
      <c r="M30" s="13" t="str">
        <f t="shared" si="2"/>
        <v/>
      </c>
    </row>
    <row r="31" ht="15.75" customHeight="1">
      <c r="A31" s="11" t="str">
        <f t="shared" si="3"/>
        <v/>
      </c>
      <c r="B31" s="28"/>
      <c r="C31" s="11" t="str">
        <f t="shared" si="4"/>
        <v/>
      </c>
      <c r="D31" s="10"/>
      <c r="E31" s="19"/>
      <c r="F31" s="19"/>
      <c r="G31" s="10"/>
      <c r="H31" s="11" t="str">
        <f>IF(G31="","",IFERROR(VLOOKUP(G31,PROFESSORES!A:B,2,FALSE),""))</f>
        <v/>
      </c>
      <c r="I31" s="10"/>
      <c r="J31" s="10"/>
      <c r="K31" s="11" t="str">
        <f>IF(OR(G31="",C31="",E31="",F31="",I31=""),"",IF(AND((COUNTIFS(DISPONIBILIDADE!A:A,G31,DISPONIBILIDADE!C:C,C31,DISPONIBILIDADE!D:D,"&lt;="&amp;E31,DISPONIBILIDADE!E:E,"&gt;="&amp;F31,DISPONIBILIDADE!F:F,I31,DISPONIBILIDADE!G:G,"Sim")+COUNTIFS(DISPONIBILIDADE!A:A,G31,DISPONIBILIDADE!C:C,C31,DISPONIBILIDADE!D:D,"&lt;="&amp;E31,DISPONIBILIDADE!E:E,"&gt;="&amp;F31,DISPONIBILIDADE!F:F,"Ambas",DISPONIBILIDADE!G:G,"Sim"))&gt;0,COUNTIFS($G$3:$G$502,G31,$B$3:$B$502,B31,$E$3:$E$502,"&lt;"&amp;F31,$F$3:$F$502,"&gt;"&amp;E31,$A$3:$A$502,"&lt;&gt;"&amp;A31)=0),"Sim","Não"))</f>
        <v/>
      </c>
      <c r="L31" s="11" t="str">
        <f>IF(OR(G31="",D31=""),"",IF(COUNTIFS('RESTRIÇÕES'!A:A,G31,'RESTRIÇÕES'!C:C,D31,'RESTRIÇÕES'!F:F,"Sim")&gt;0,"Com restrição","Sem restrição"))</f>
        <v/>
      </c>
      <c r="M31" s="11" t="str">
        <f t="shared" si="2"/>
        <v/>
      </c>
    </row>
    <row r="32" ht="15.75" customHeight="1">
      <c r="A32" s="13" t="str">
        <f t="shared" si="3"/>
        <v/>
      </c>
      <c r="B32" s="27"/>
      <c r="C32" s="13" t="str">
        <f t="shared" si="4"/>
        <v/>
      </c>
      <c r="D32" s="12"/>
      <c r="E32" s="21"/>
      <c r="F32" s="21"/>
      <c r="G32" s="12"/>
      <c r="H32" s="13" t="str">
        <f>IF(G32="","",IFERROR(VLOOKUP(G32,PROFESSORES!A:B,2,FALSE),""))</f>
        <v/>
      </c>
      <c r="I32" s="12"/>
      <c r="J32" s="12"/>
      <c r="K32" s="13" t="str">
        <f>IF(OR(G32="",C32="",E32="",F32="",I32=""),"",IF(AND((COUNTIFS(DISPONIBILIDADE!A:A,G32,DISPONIBILIDADE!C:C,C32,DISPONIBILIDADE!D:D,"&lt;="&amp;E32,DISPONIBILIDADE!E:E,"&gt;="&amp;F32,DISPONIBILIDADE!F:F,I32,DISPONIBILIDADE!G:G,"Sim")+COUNTIFS(DISPONIBILIDADE!A:A,G32,DISPONIBILIDADE!C:C,C32,DISPONIBILIDADE!D:D,"&lt;="&amp;E32,DISPONIBILIDADE!E:E,"&gt;="&amp;F32,DISPONIBILIDADE!F:F,"Ambas",DISPONIBILIDADE!G:G,"Sim"))&gt;0,COUNTIFS($G$3:$G$502,G32,$B$3:$B$502,B32,$E$3:$E$502,"&lt;"&amp;F32,$F$3:$F$502,"&gt;"&amp;E32,$A$3:$A$502,"&lt;&gt;"&amp;A32)=0),"Sim","Não"))</f>
        <v/>
      </c>
      <c r="L32" s="13" t="str">
        <f>IF(OR(G32="",D32=""),"",IF(COUNTIFS('RESTRIÇÕES'!A:A,G32,'RESTRIÇÕES'!C:C,D32,'RESTRIÇÕES'!F:F,"Sim")&gt;0,"Com restrição","Sem restrição"))</f>
        <v/>
      </c>
      <c r="M32" s="13" t="str">
        <f t="shared" si="2"/>
        <v/>
      </c>
    </row>
    <row r="33" ht="15.75" customHeight="1">
      <c r="A33" s="11" t="str">
        <f t="shared" si="3"/>
        <v/>
      </c>
      <c r="B33" s="28"/>
      <c r="C33" s="11" t="str">
        <f t="shared" si="4"/>
        <v/>
      </c>
      <c r="D33" s="10"/>
      <c r="E33" s="19"/>
      <c r="F33" s="19"/>
      <c r="G33" s="10"/>
      <c r="H33" s="11" t="str">
        <f>IF(G33="","",IFERROR(VLOOKUP(G33,PROFESSORES!A:B,2,FALSE),""))</f>
        <v/>
      </c>
      <c r="I33" s="10"/>
      <c r="J33" s="10"/>
      <c r="K33" s="11" t="str">
        <f>IF(OR(G33="",C33="",E33="",F33="",I33=""),"",IF(AND((COUNTIFS(DISPONIBILIDADE!A:A,G33,DISPONIBILIDADE!C:C,C33,DISPONIBILIDADE!D:D,"&lt;="&amp;E33,DISPONIBILIDADE!E:E,"&gt;="&amp;F33,DISPONIBILIDADE!F:F,I33,DISPONIBILIDADE!G:G,"Sim")+COUNTIFS(DISPONIBILIDADE!A:A,G33,DISPONIBILIDADE!C:C,C33,DISPONIBILIDADE!D:D,"&lt;="&amp;E33,DISPONIBILIDADE!E:E,"&gt;="&amp;F33,DISPONIBILIDADE!F:F,"Ambas",DISPONIBILIDADE!G:G,"Sim"))&gt;0,COUNTIFS($G$3:$G$502,G33,$B$3:$B$502,B33,$E$3:$E$502,"&lt;"&amp;F33,$F$3:$F$502,"&gt;"&amp;E33,$A$3:$A$502,"&lt;&gt;"&amp;A33)=0),"Sim","Não"))</f>
        <v/>
      </c>
      <c r="L33" s="11" t="str">
        <f>IF(OR(G33="",D33=""),"",IF(COUNTIFS('RESTRIÇÕES'!A:A,G33,'RESTRIÇÕES'!C:C,D33,'RESTRIÇÕES'!F:F,"Sim")&gt;0,"Com restrição","Sem restrição"))</f>
        <v/>
      </c>
      <c r="M33" s="11" t="str">
        <f t="shared" si="2"/>
        <v/>
      </c>
    </row>
    <row r="34" ht="15.75" customHeight="1">
      <c r="A34" s="13" t="str">
        <f t="shared" si="3"/>
        <v/>
      </c>
      <c r="B34" s="27"/>
      <c r="C34" s="13" t="str">
        <f t="shared" si="4"/>
        <v/>
      </c>
      <c r="D34" s="12"/>
      <c r="E34" s="21"/>
      <c r="F34" s="21"/>
      <c r="G34" s="12"/>
      <c r="H34" s="13" t="str">
        <f>IF(G34="","",IFERROR(VLOOKUP(G34,PROFESSORES!A:B,2,FALSE),""))</f>
        <v/>
      </c>
      <c r="I34" s="12"/>
      <c r="J34" s="12"/>
      <c r="K34" s="13" t="str">
        <f>IF(OR(G34="",C34="",E34="",F34="",I34=""),"",IF(AND((COUNTIFS(DISPONIBILIDADE!A:A,G34,DISPONIBILIDADE!C:C,C34,DISPONIBILIDADE!D:D,"&lt;="&amp;E34,DISPONIBILIDADE!E:E,"&gt;="&amp;F34,DISPONIBILIDADE!F:F,I34,DISPONIBILIDADE!G:G,"Sim")+COUNTIFS(DISPONIBILIDADE!A:A,G34,DISPONIBILIDADE!C:C,C34,DISPONIBILIDADE!D:D,"&lt;="&amp;E34,DISPONIBILIDADE!E:E,"&gt;="&amp;F34,DISPONIBILIDADE!F:F,"Ambas",DISPONIBILIDADE!G:G,"Sim"))&gt;0,COUNTIFS($G$3:$G$502,G34,$B$3:$B$502,B34,$E$3:$E$502,"&lt;"&amp;F34,$F$3:$F$502,"&gt;"&amp;E34,$A$3:$A$502,"&lt;&gt;"&amp;A34)=0),"Sim","Não"))</f>
        <v/>
      </c>
      <c r="L34" s="13" t="str">
        <f>IF(OR(G34="",D34=""),"",IF(COUNTIFS('RESTRIÇÕES'!A:A,G34,'RESTRIÇÕES'!C:C,D34,'RESTRIÇÕES'!F:F,"Sim")&gt;0,"Com restrição","Sem restrição"))</f>
        <v/>
      </c>
      <c r="M34" s="13" t="str">
        <f t="shared" si="2"/>
        <v/>
      </c>
    </row>
    <row r="35" ht="15.75" customHeight="1">
      <c r="A35" s="11" t="str">
        <f t="shared" si="3"/>
        <v/>
      </c>
      <c r="B35" s="28"/>
      <c r="C35" s="11" t="str">
        <f t="shared" si="4"/>
        <v/>
      </c>
      <c r="D35" s="10"/>
      <c r="E35" s="19"/>
      <c r="F35" s="19"/>
      <c r="G35" s="10"/>
      <c r="H35" s="11" t="str">
        <f>IF(G35="","",IFERROR(VLOOKUP(G35,PROFESSORES!A:B,2,FALSE),""))</f>
        <v/>
      </c>
      <c r="I35" s="10"/>
      <c r="J35" s="10"/>
      <c r="K35" s="11" t="str">
        <f>IF(OR(G35="",C35="",E35="",F35="",I35=""),"",IF(AND((COUNTIFS(DISPONIBILIDADE!A:A,G35,DISPONIBILIDADE!C:C,C35,DISPONIBILIDADE!D:D,"&lt;="&amp;E35,DISPONIBILIDADE!E:E,"&gt;="&amp;F35,DISPONIBILIDADE!F:F,I35,DISPONIBILIDADE!G:G,"Sim")+COUNTIFS(DISPONIBILIDADE!A:A,G35,DISPONIBILIDADE!C:C,C35,DISPONIBILIDADE!D:D,"&lt;="&amp;E35,DISPONIBILIDADE!E:E,"&gt;="&amp;F35,DISPONIBILIDADE!F:F,"Ambas",DISPONIBILIDADE!G:G,"Sim"))&gt;0,COUNTIFS($G$3:$G$502,G35,$B$3:$B$502,B35,$E$3:$E$502,"&lt;"&amp;F35,$F$3:$F$502,"&gt;"&amp;E35,$A$3:$A$502,"&lt;&gt;"&amp;A35)=0),"Sim","Não"))</f>
        <v/>
      </c>
      <c r="L35" s="11" t="str">
        <f>IF(OR(G35="",D35=""),"",IF(COUNTIFS('RESTRIÇÕES'!A:A,G35,'RESTRIÇÕES'!C:C,D35,'RESTRIÇÕES'!F:F,"Sim")&gt;0,"Com restrição","Sem restrição"))</f>
        <v/>
      </c>
      <c r="M35" s="11" t="str">
        <f t="shared" si="2"/>
        <v/>
      </c>
    </row>
    <row r="36" ht="15.75" customHeight="1">
      <c r="A36" s="13" t="str">
        <f t="shared" si="3"/>
        <v/>
      </c>
      <c r="B36" s="27"/>
      <c r="C36" s="13" t="str">
        <f t="shared" si="4"/>
        <v/>
      </c>
      <c r="D36" s="12"/>
      <c r="E36" s="21"/>
      <c r="F36" s="21"/>
      <c r="G36" s="12"/>
      <c r="H36" s="13" t="str">
        <f>IF(G36="","",IFERROR(VLOOKUP(G36,PROFESSORES!A:B,2,FALSE),""))</f>
        <v/>
      </c>
      <c r="I36" s="12"/>
      <c r="J36" s="12"/>
      <c r="K36" s="13" t="str">
        <f>IF(OR(G36="",C36="",E36="",F36="",I36=""),"",IF(AND((COUNTIFS(DISPONIBILIDADE!A:A,G36,DISPONIBILIDADE!C:C,C36,DISPONIBILIDADE!D:D,"&lt;="&amp;E36,DISPONIBILIDADE!E:E,"&gt;="&amp;F36,DISPONIBILIDADE!F:F,I36,DISPONIBILIDADE!G:G,"Sim")+COUNTIFS(DISPONIBILIDADE!A:A,G36,DISPONIBILIDADE!C:C,C36,DISPONIBILIDADE!D:D,"&lt;="&amp;E36,DISPONIBILIDADE!E:E,"&gt;="&amp;F36,DISPONIBILIDADE!F:F,"Ambas",DISPONIBILIDADE!G:G,"Sim"))&gt;0,COUNTIFS($G$3:$G$502,G36,$B$3:$B$502,B36,$E$3:$E$502,"&lt;"&amp;F36,$F$3:$F$502,"&gt;"&amp;E36,$A$3:$A$502,"&lt;&gt;"&amp;A36)=0),"Sim","Não"))</f>
        <v/>
      </c>
      <c r="L36" s="13" t="str">
        <f>IF(OR(G36="",D36=""),"",IF(COUNTIFS('RESTRIÇÕES'!A:A,G36,'RESTRIÇÕES'!C:C,D36,'RESTRIÇÕES'!F:F,"Sim")&gt;0,"Com restrição","Sem restrição"))</f>
        <v/>
      </c>
      <c r="M36" s="13" t="str">
        <f t="shared" si="2"/>
        <v/>
      </c>
    </row>
    <row r="37" ht="15.75" customHeight="1">
      <c r="A37" s="11" t="str">
        <f t="shared" si="3"/>
        <v/>
      </c>
      <c r="B37" s="28"/>
      <c r="C37" s="11" t="str">
        <f t="shared" si="4"/>
        <v/>
      </c>
      <c r="D37" s="10"/>
      <c r="E37" s="19"/>
      <c r="F37" s="19"/>
      <c r="G37" s="10"/>
      <c r="H37" s="11" t="str">
        <f>IF(G37="","",IFERROR(VLOOKUP(G37,PROFESSORES!A:B,2,FALSE),""))</f>
        <v/>
      </c>
      <c r="I37" s="10"/>
      <c r="J37" s="10"/>
      <c r="K37" s="11" t="str">
        <f>IF(OR(G37="",C37="",E37="",F37="",I37=""),"",IF(AND((COUNTIFS(DISPONIBILIDADE!A:A,G37,DISPONIBILIDADE!C:C,C37,DISPONIBILIDADE!D:D,"&lt;="&amp;E37,DISPONIBILIDADE!E:E,"&gt;="&amp;F37,DISPONIBILIDADE!F:F,I37,DISPONIBILIDADE!G:G,"Sim")+COUNTIFS(DISPONIBILIDADE!A:A,G37,DISPONIBILIDADE!C:C,C37,DISPONIBILIDADE!D:D,"&lt;="&amp;E37,DISPONIBILIDADE!E:E,"&gt;="&amp;F37,DISPONIBILIDADE!F:F,"Ambas",DISPONIBILIDADE!G:G,"Sim"))&gt;0,COUNTIFS($G$3:$G$502,G37,$B$3:$B$502,B37,$E$3:$E$502,"&lt;"&amp;F37,$F$3:$F$502,"&gt;"&amp;E37,$A$3:$A$502,"&lt;&gt;"&amp;A37)=0),"Sim","Não"))</f>
        <v/>
      </c>
      <c r="L37" s="11" t="str">
        <f>IF(OR(G37="",D37=""),"",IF(COUNTIFS('RESTRIÇÕES'!A:A,G37,'RESTRIÇÕES'!C:C,D37,'RESTRIÇÕES'!F:F,"Sim")&gt;0,"Com restrição","Sem restrição"))</f>
        <v/>
      </c>
      <c r="M37" s="11" t="str">
        <f t="shared" si="2"/>
        <v/>
      </c>
    </row>
    <row r="38" ht="15.75" customHeight="1">
      <c r="A38" s="13" t="str">
        <f t="shared" si="3"/>
        <v/>
      </c>
      <c r="B38" s="27"/>
      <c r="C38" s="13" t="str">
        <f t="shared" si="4"/>
        <v/>
      </c>
      <c r="D38" s="12"/>
      <c r="E38" s="21"/>
      <c r="F38" s="21"/>
      <c r="G38" s="12"/>
      <c r="H38" s="13" t="str">
        <f>IF(G38="","",IFERROR(VLOOKUP(G38,PROFESSORES!A:B,2,FALSE),""))</f>
        <v/>
      </c>
      <c r="I38" s="12"/>
      <c r="J38" s="12"/>
      <c r="K38" s="13" t="str">
        <f>IF(OR(G38="",C38="",E38="",F38="",I38=""),"",IF(AND((COUNTIFS(DISPONIBILIDADE!A:A,G38,DISPONIBILIDADE!C:C,C38,DISPONIBILIDADE!D:D,"&lt;="&amp;E38,DISPONIBILIDADE!E:E,"&gt;="&amp;F38,DISPONIBILIDADE!F:F,I38,DISPONIBILIDADE!G:G,"Sim")+COUNTIFS(DISPONIBILIDADE!A:A,G38,DISPONIBILIDADE!C:C,C38,DISPONIBILIDADE!D:D,"&lt;="&amp;E38,DISPONIBILIDADE!E:E,"&gt;="&amp;F38,DISPONIBILIDADE!F:F,"Ambas",DISPONIBILIDADE!G:G,"Sim"))&gt;0,COUNTIFS($G$3:$G$502,G38,$B$3:$B$502,B38,$E$3:$E$502,"&lt;"&amp;F38,$F$3:$F$502,"&gt;"&amp;E38,$A$3:$A$502,"&lt;&gt;"&amp;A38)=0),"Sim","Não"))</f>
        <v/>
      </c>
      <c r="L38" s="13" t="str">
        <f>IF(OR(G38="",D38=""),"",IF(COUNTIFS('RESTRIÇÕES'!A:A,G38,'RESTRIÇÕES'!C:C,D38,'RESTRIÇÕES'!F:F,"Sim")&gt;0,"Com restrição","Sem restrição"))</f>
        <v/>
      </c>
      <c r="M38" s="13" t="str">
        <f t="shared" si="2"/>
        <v/>
      </c>
    </row>
    <row r="39" ht="15.75" customHeight="1">
      <c r="A39" s="11" t="str">
        <f t="shared" si="3"/>
        <v/>
      </c>
      <c r="B39" s="28"/>
      <c r="C39" s="11" t="str">
        <f t="shared" si="4"/>
        <v/>
      </c>
      <c r="D39" s="10"/>
      <c r="E39" s="19"/>
      <c r="F39" s="19"/>
      <c r="G39" s="10"/>
      <c r="H39" s="11" t="str">
        <f>IF(G39="","",IFERROR(VLOOKUP(G39,PROFESSORES!A:B,2,FALSE),""))</f>
        <v/>
      </c>
      <c r="I39" s="10"/>
      <c r="J39" s="10"/>
      <c r="K39" s="11" t="str">
        <f>IF(OR(G39="",C39="",E39="",F39="",I39=""),"",IF(AND((COUNTIFS(DISPONIBILIDADE!A:A,G39,DISPONIBILIDADE!C:C,C39,DISPONIBILIDADE!D:D,"&lt;="&amp;E39,DISPONIBILIDADE!E:E,"&gt;="&amp;F39,DISPONIBILIDADE!F:F,I39,DISPONIBILIDADE!G:G,"Sim")+COUNTIFS(DISPONIBILIDADE!A:A,G39,DISPONIBILIDADE!C:C,C39,DISPONIBILIDADE!D:D,"&lt;="&amp;E39,DISPONIBILIDADE!E:E,"&gt;="&amp;F39,DISPONIBILIDADE!F:F,"Ambas",DISPONIBILIDADE!G:G,"Sim"))&gt;0,COUNTIFS($G$3:$G$502,G39,$B$3:$B$502,B39,$E$3:$E$502,"&lt;"&amp;F39,$F$3:$F$502,"&gt;"&amp;E39,$A$3:$A$502,"&lt;&gt;"&amp;A39)=0),"Sim","Não"))</f>
        <v/>
      </c>
      <c r="L39" s="11" t="str">
        <f>IF(OR(G39="",D39=""),"",IF(COUNTIFS('RESTRIÇÕES'!A:A,G39,'RESTRIÇÕES'!C:C,D39,'RESTRIÇÕES'!F:F,"Sim")&gt;0,"Com restrição","Sem restrição"))</f>
        <v/>
      </c>
      <c r="M39" s="11" t="str">
        <f t="shared" si="2"/>
        <v/>
      </c>
    </row>
    <row r="40" ht="15.75" customHeight="1">
      <c r="A40" s="13" t="str">
        <f t="shared" si="3"/>
        <v/>
      </c>
      <c r="B40" s="27"/>
      <c r="C40" s="13" t="str">
        <f t="shared" si="4"/>
        <v/>
      </c>
      <c r="D40" s="12"/>
      <c r="E40" s="21"/>
      <c r="F40" s="21"/>
      <c r="G40" s="12"/>
      <c r="H40" s="13" t="str">
        <f>IF(G40="","",IFERROR(VLOOKUP(G40,PROFESSORES!A:B,2,FALSE),""))</f>
        <v/>
      </c>
      <c r="I40" s="12"/>
      <c r="J40" s="12"/>
      <c r="K40" s="13" t="str">
        <f>IF(OR(G40="",C40="",E40="",F40="",I40=""),"",IF(AND((COUNTIFS(DISPONIBILIDADE!A:A,G40,DISPONIBILIDADE!C:C,C40,DISPONIBILIDADE!D:D,"&lt;="&amp;E40,DISPONIBILIDADE!E:E,"&gt;="&amp;F40,DISPONIBILIDADE!F:F,I40,DISPONIBILIDADE!G:G,"Sim")+COUNTIFS(DISPONIBILIDADE!A:A,G40,DISPONIBILIDADE!C:C,C40,DISPONIBILIDADE!D:D,"&lt;="&amp;E40,DISPONIBILIDADE!E:E,"&gt;="&amp;F40,DISPONIBILIDADE!F:F,"Ambas",DISPONIBILIDADE!G:G,"Sim"))&gt;0,COUNTIFS($G$3:$G$502,G40,$B$3:$B$502,B40,$E$3:$E$502,"&lt;"&amp;F40,$F$3:$F$502,"&gt;"&amp;E40,$A$3:$A$502,"&lt;&gt;"&amp;A40)=0),"Sim","Não"))</f>
        <v/>
      </c>
      <c r="L40" s="13" t="str">
        <f>IF(OR(G40="",D40=""),"",IF(COUNTIFS('RESTRIÇÕES'!A:A,G40,'RESTRIÇÕES'!C:C,D40,'RESTRIÇÕES'!F:F,"Sim")&gt;0,"Com restrição","Sem restrição"))</f>
        <v/>
      </c>
      <c r="M40" s="13" t="str">
        <f t="shared" si="2"/>
        <v/>
      </c>
    </row>
    <row r="41" ht="15.75" customHeight="1">
      <c r="A41" s="11" t="str">
        <f t="shared" si="3"/>
        <v/>
      </c>
      <c r="B41" s="28"/>
      <c r="C41" s="11" t="str">
        <f t="shared" si="4"/>
        <v/>
      </c>
      <c r="D41" s="10"/>
      <c r="E41" s="19"/>
      <c r="F41" s="19"/>
      <c r="G41" s="10"/>
      <c r="H41" s="11" t="str">
        <f>IF(G41="","",IFERROR(VLOOKUP(G41,PROFESSORES!A:B,2,FALSE),""))</f>
        <v/>
      </c>
      <c r="I41" s="10"/>
      <c r="J41" s="10"/>
      <c r="K41" s="11" t="str">
        <f>IF(OR(G41="",C41="",E41="",F41="",I41=""),"",IF(AND((COUNTIFS(DISPONIBILIDADE!A:A,G41,DISPONIBILIDADE!C:C,C41,DISPONIBILIDADE!D:D,"&lt;="&amp;E41,DISPONIBILIDADE!E:E,"&gt;="&amp;F41,DISPONIBILIDADE!F:F,I41,DISPONIBILIDADE!G:G,"Sim")+COUNTIFS(DISPONIBILIDADE!A:A,G41,DISPONIBILIDADE!C:C,C41,DISPONIBILIDADE!D:D,"&lt;="&amp;E41,DISPONIBILIDADE!E:E,"&gt;="&amp;F41,DISPONIBILIDADE!F:F,"Ambas",DISPONIBILIDADE!G:G,"Sim"))&gt;0,COUNTIFS($G$3:$G$502,G41,$B$3:$B$502,B41,$E$3:$E$502,"&lt;"&amp;F41,$F$3:$F$502,"&gt;"&amp;E41,$A$3:$A$502,"&lt;&gt;"&amp;A41)=0),"Sim","Não"))</f>
        <v/>
      </c>
      <c r="L41" s="11" t="str">
        <f>IF(OR(G41="",D41=""),"",IF(COUNTIFS('RESTRIÇÕES'!A:A,G41,'RESTRIÇÕES'!C:C,D41,'RESTRIÇÕES'!F:F,"Sim")&gt;0,"Com restrição","Sem restrição"))</f>
        <v/>
      </c>
      <c r="M41" s="11" t="str">
        <f t="shared" si="2"/>
        <v/>
      </c>
    </row>
    <row r="42" ht="15.75" customHeight="1">
      <c r="A42" s="13" t="str">
        <f t="shared" si="3"/>
        <v/>
      </c>
      <c r="B42" s="27"/>
      <c r="C42" s="13" t="str">
        <f t="shared" si="4"/>
        <v/>
      </c>
      <c r="D42" s="12"/>
      <c r="E42" s="21"/>
      <c r="F42" s="21"/>
      <c r="G42" s="12"/>
      <c r="H42" s="13" t="str">
        <f>IF(G42="","",IFERROR(VLOOKUP(G42,PROFESSORES!A:B,2,FALSE),""))</f>
        <v/>
      </c>
      <c r="I42" s="12"/>
      <c r="J42" s="12"/>
      <c r="K42" s="13" t="str">
        <f>IF(OR(G42="",C42="",E42="",F42="",I42=""),"",IF(AND((COUNTIFS(DISPONIBILIDADE!A:A,G42,DISPONIBILIDADE!C:C,C42,DISPONIBILIDADE!D:D,"&lt;="&amp;E42,DISPONIBILIDADE!E:E,"&gt;="&amp;F42,DISPONIBILIDADE!F:F,I42,DISPONIBILIDADE!G:G,"Sim")+COUNTIFS(DISPONIBILIDADE!A:A,G42,DISPONIBILIDADE!C:C,C42,DISPONIBILIDADE!D:D,"&lt;="&amp;E42,DISPONIBILIDADE!E:E,"&gt;="&amp;F42,DISPONIBILIDADE!F:F,"Ambas",DISPONIBILIDADE!G:G,"Sim"))&gt;0,COUNTIFS($G$3:$G$502,G42,$B$3:$B$502,B42,$E$3:$E$502,"&lt;"&amp;F42,$F$3:$F$502,"&gt;"&amp;E42,$A$3:$A$502,"&lt;&gt;"&amp;A42)=0),"Sim","Não"))</f>
        <v/>
      </c>
      <c r="L42" s="13" t="str">
        <f>IF(OR(G42="",D42=""),"",IF(COUNTIFS('RESTRIÇÕES'!A:A,G42,'RESTRIÇÕES'!C:C,D42,'RESTRIÇÕES'!F:F,"Sim")&gt;0,"Com restrição","Sem restrição"))</f>
        <v/>
      </c>
      <c r="M42" s="13" t="str">
        <f t="shared" si="2"/>
        <v/>
      </c>
    </row>
    <row r="43" ht="15.75" customHeight="1">
      <c r="A43" s="11" t="str">
        <f t="shared" si="3"/>
        <v/>
      </c>
      <c r="B43" s="28"/>
      <c r="C43" s="11" t="str">
        <f t="shared" si="4"/>
        <v/>
      </c>
      <c r="D43" s="10"/>
      <c r="E43" s="19"/>
      <c r="F43" s="19"/>
      <c r="G43" s="10"/>
      <c r="H43" s="11" t="str">
        <f>IF(G43="","",IFERROR(VLOOKUP(G43,PROFESSORES!A:B,2,FALSE),""))</f>
        <v/>
      </c>
      <c r="I43" s="10"/>
      <c r="J43" s="10"/>
      <c r="K43" s="11" t="str">
        <f>IF(OR(G43="",C43="",E43="",F43="",I43=""),"",IF(AND((COUNTIFS(DISPONIBILIDADE!A:A,G43,DISPONIBILIDADE!C:C,C43,DISPONIBILIDADE!D:D,"&lt;="&amp;E43,DISPONIBILIDADE!E:E,"&gt;="&amp;F43,DISPONIBILIDADE!F:F,I43,DISPONIBILIDADE!G:G,"Sim")+COUNTIFS(DISPONIBILIDADE!A:A,G43,DISPONIBILIDADE!C:C,C43,DISPONIBILIDADE!D:D,"&lt;="&amp;E43,DISPONIBILIDADE!E:E,"&gt;="&amp;F43,DISPONIBILIDADE!F:F,"Ambas",DISPONIBILIDADE!G:G,"Sim"))&gt;0,COUNTIFS($G$3:$G$502,G43,$B$3:$B$502,B43,$E$3:$E$502,"&lt;"&amp;F43,$F$3:$F$502,"&gt;"&amp;E43,$A$3:$A$502,"&lt;&gt;"&amp;A43)=0),"Sim","Não"))</f>
        <v/>
      </c>
      <c r="L43" s="11" t="str">
        <f>IF(OR(G43="",D43=""),"",IF(COUNTIFS('RESTRIÇÕES'!A:A,G43,'RESTRIÇÕES'!C:C,D43,'RESTRIÇÕES'!F:F,"Sim")&gt;0,"Com restrição","Sem restrição"))</f>
        <v/>
      </c>
      <c r="M43" s="11" t="str">
        <f t="shared" si="2"/>
        <v/>
      </c>
    </row>
    <row r="44" ht="15.75" customHeight="1">
      <c r="A44" s="13" t="str">
        <f t="shared" si="3"/>
        <v/>
      </c>
      <c r="B44" s="27"/>
      <c r="C44" s="13" t="str">
        <f t="shared" si="4"/>
        <v/>
      </c>
      <c r="D44" s="12"/>
      <c r="E44" s="21"/>
      <c r="F44" s="21"/>
      <c r="G44" s="12"/>
      <c r="H44" s="13" t="str">
        <f>IF(G44="","",IFERROR(VLOOKUP(G44,PROFESSORES!A:B,2,FALSE),""))</f>
        <v/>
      </c>
      <c r="I44" s="12"/>
      <c r="J44" s="12"/>
      <c r="K44" s="13" t="str">
        <f>IF(OR(G44="",C44="",E44="",F44="",I44=""),"",IF(AND((COUNTIFS(DISPONIBILIDADE!A:A,G44,DISPONIBILIDADE!C:C,C44,DISPONIBILIDADE!D:D,"&lt;="&amp;E44,DISPONIBILIDADE!E:E,"&gt;="&amp;F44,DISPONIBILIDADE!F:F,I44,DISPONIBILIDADE!G:G,"Sim")+COUNTIFS(DISPONIBILIDADE!A:A,G44,DISPONIBILIDADE!C:C,C44,DISPONIBILIDADE!D:D,"&lt;="&amp;E44,DISPONIBILIDADE!E:E,"&gt;="&amp;F44,DISPONIBILIDADE!F:F,"Ambas",DISPONIBILIDADE!G:G,"Sim"))&gt;0,COUNTIFS($G$3:$G$502,G44,$B$3:$B$502,B44,$E$3:$E$502,"&lt;"&amp;F44,$F$3:$F$502,"&gt;"&amp;E44,$A$3:$A$502,"&lt;&gt;"&amp;A44)=0),"Sim","Não"))</f>
        <v/>
      </c>
      <c r="L44" s="13" t="str">
        <f>IF(OR(G44="",D44=""),"",IF(COUNTIFS('RESTRIÇÕES'!A:A,G44,'RESTRIÇÕES'!C:C,D44,'RESTRIÇÕES'!F:F,"Sim")&gt;0,"Com restrição","Sem restrição"))</f>
        <v/>
      </c>
      <c r="M44" s="13" t="str">
        <f t="shared" si="2"/>
        <v/>
      </c>
    </row>
    <row r="45" ht="15.75" customHeight="1">
      <c r="A45" s="11" t="str">
        <f t="shared" si="3"/>
        <v/>
      </c>
      <c r="B45" s="28"/>
      <c r="C45" s="11" t="str">
        <f t="shared" si="4"/>
        <v/>
      </c>
      <c r="D45" s="10"/>
      <c r="E45" s="19"/>
      <c r="F45" s="19"/>
      <c r="G45" s="10"/>
      <c r="H45" s="11" t="str">
        <f>IF(G45="","",IFERROR(VLOOKUP(G45,PROFESSORES!A:B,2,FALSE),""))</f>
        <v/>
      </c>
      <c r="I45" s="10"/>
      <c r="J45" s="10"/>
      <c r="K45" s="11" t="str">
        <f>IF(OR(G45="",C45="",E45="",F45="",I45=""),"",IF(AND((COUNTIFS(DISPONIBILIDADE!A:A,G45,DISPONIBILIDADE!C:C,C45,DISPONIBILIDADE!D:D,"&lt;="&amp;E45,DISPONIBILIDADE!E:E,"&gt;="&amp;F45,DISPONIBILIDADE!F:F,I45,DISPONIBILIDADE!G:G,"Sim")+COUNTIFS(DISPONIBILIDADE!A:A,G45,DISPONIBILIDADE!C:C,C45,DISPONIBILIDADE!D:D,"&lt;="&amp;E45,DISPONIBILIDADE!E:E,"&gt;="&amp;F45,DISPONIBILIDADE!F:F,"Ambas",DISPONIBILIDADE!G:G,"Sim"))&gt;0,COUNTIFS($G$3:$G$502,G45,$B$3:$B$502,B45,$E$3:$E$502,"&lt;"&amp;F45,$F$3:$F$502,"&gt;"&amp;E45,$A$3:$A$502,"&lt;&gt;"&amp;A45)=0),"Sim","Não"))</f>
        <v/>
      </c>
      <c r="L45" s="11" t="str">
        <f>IF(OR(G45="",D45=""),"",IF(COUNTIFS('RESTRIÇÕES'!A:A,G45,'RESTRIÇÕES'!C:C,D45,'RESTRIÇÕES'!F:F,"Sim")&gt;0,"Com restrição","Sem restrição"))</f>
        <v/>
      </c>
      <c r="M45" s="11" t="str">
        <f t="shared" si="2"/>
        <v/>
      </c>
    </row>
    <row r="46" ht="15.75" customHeight="1">
      <c r="A46" s="13" t="str">
        <f t="shared" si="3"/>
        <v/>
      </c>
      <c r="B46" s="27"/>
      <c r="C46" s="13" t="str">
        <f t="shared" si="4"/>
        <v/>
      </c>
      <c r="D46" s="12"/>
      <c r="E46" s="21"/>
      <c r="F46" s="21"/>
      <c r="G46" s="12"/>
      <c r="H46" s="13" t="str">
        <f>IF(G46="","",IFERROR(VLOOKUP(G46,PROFESSORES!A:B,2,FALSE),""))</f>
        <v/>
      </c>
      <c r="I46" s="12"/>
      <c r="J46" s="12"/>
      <c r="K46" s="13" t="str">
        <f>IF(OR(G46="",C46="",E46="",F46="",I46=""),"",IF(AND((COUNTIFS(DISPONIBILIDADE!A:A,G46,DISPONIBILIDADE!C:C,C46,DISPONIBILIDADE!D:D,"&lt;="&amp;E46,DISPONIBILIDADE!E:E,"&gt;="&amp;F46,DISPONIBILIDADE!F:F,I46,DISPONIBILIDADE!G:G,"Sim")+COUNTIFS(DISPONIBILIDADE!A:A,G46,DISPONIBILIDADE!C:C,C46,DISPONIBILIDADE!D:D,"&lt;="&amp;E46,DISPONIBILIDADE!E:E,"&gt;="&amp;F46,DISPONIBILIDADE!F:F,"Ambas",DISPONIBILIDADE!G:G,"Sim"))&gt;0,COUNTIFS($G$3:$G$502,G46,$B$3:$B$502,B46,$E$3:$E$502,"&lt;"&amp;F46,$F$3:$F$502,"&gt;"&amp;E46,$A$3:$A$502,"&lt;&gt;"&amp;A46)=0),"Sim","Não"))</f>
        <v/>
      </c>
      <c r="L46" s="13" t="str">
        <f>IF(OR(G46="",D46=""),"",IF(COUNTIFS('RESTRIÇÕES'!A:A,G46,'RESTRIÇÕES'!C:C,D46,'RESTRIÇÕES'!F:F,"Sim")&gt;0,"Com restrição","Sem restrição"))</f>
        <v/>
      </c>
      <c r="M46" s="13" t="str">
        <f t="shared" si="2"/>
        <v/>
      </c>
    </row>
    <row r="47" ht="15.75" customHeight="1">
      <c r="A47" s="11" t="str">
        <f t="shared" si="3"/>
        <v/>
      </c>
      <c r="B47" s="28"/>
      <c r="C47" s="11" t="str">
        <f t="shared" si="4"/>
        <v/>
      </c>
      <c r="D47" s="10"/>
      <c r="E47" s="19"/>
      <c r="F47" s="19"/>
      <c r="G47" s="10"/>
      <c r="H47" s="11" t="str">
        <f>IF(G47="","",IFERROR(VLOOKUP(G47,PROFESSORES!A:B,2,FALSE),""))</f>
        <v/>
      </c>
      <c r="I47" s="10"/>
      <c r="J47" s="10"/>
      <c r="K47" s="11" t="str">
        <f>IF(OR(G47="",C47="",E47="",F47="",I47=""),"",IF(AND((COUNTIFS(DISPONIBILIDADE!A:A,G47,DISPONIBILIDADE!C:C,C47,DISPONIBILIDADE!D:D,"&lt;="&amp;E47,DISPONIBILIDADE!E:E,"&gt;="&amp;F47,DISPONIBILIDADE!F:F,I47,DISPONIBILIDADE!G:G,"Sim")+COUNTIFS(DISPONIBILIDADE!A:A,G47,DISPONIBILIDADE!C:C,C47,DISPONIBILIDADE!D:D,"&lt;="&amp;E47,DISPONIBILIDADE!E:E,"&gt;="&amp;F47,DISPONIBILIDADE!F:F,"Ambas",DISPONIBILIDADE!G:G,"Sim"))&gt;0,COUNTIFS($G$3:$G$502,G47,$B$3:$B$502,B47,$E$3:$E$502,"&lt;"&amp;F47,$F$3:$F$502,"&gt;"&amp;E47,$A$3:$A$502,"&lt;&gt;"&amp;A47)=0),"Sim","Não"))</f>
        <v/>
      </c>
      <c r="L47" s="11" t="str">
        <f>IF(OR(G47="",D47=""),"",IF(COUNTIFS('RESTRIÇÕES'!A:A,G47,'RESTRIÇÕES'!C:C,D47,'RESTRIÇÕES'!F:F,"Sim")&gt;0,"Com restrição","Sem restrição"))</f>
        <v/>
      </c>
      <c r="M47" s="11" t="str">
        <f t="shared" si="2"/>
        <v/>
      </c>
    </row>
    <row r="48" ht="15.75" customHeight="1">
      <c r="A48" s="13" t="str">
        <f t="shared" si="3"/>
        <v/>
      </c>
      <c r="B48" s="27"/>
      <c r="C48" s="13" t="str">
        <f t="shared" si="4"/>
        <v/>
      </c>
      <c r="D48" s="12"/>
      <c r="E48" s="21"/>
      <c r="F48" s="21"/>
      <c r="G48" s="12"/>
      <c r="H48" s="13" t="str">
        <f>IF(G48="","",IFERROR(VLOOKUP(G48,PROFESSORES!A:B,2,FALSE),""))</f>
        <v/>
      </c>
      <c r="I48" s="12"/>
      <c r="J48" s="12"/>
      <c r="K48" s="13" t="str">
        <f>IF(OR(G48="",C48="",E48="",F48="",I48=""),"",IF(AND((COUNTIFS(DISPONIBILIDADE!A:A,G48,DISPONIBILIDADE!C:C,C48,DISPONIBILIDADE!D:D,"&lt;="&amp;E48,DISPONIBILIDADE!E:E,"&gt;="&amp;F48,DISPONIBILIDADE!F:F,I48,DISPONIBILIDADE!G:G,"Sim")+COUNTIFS(DISPONIBILIDADE!A:A,G48,DISPONIBILIDADE!C:C,C48,DISPONIBILIDADE!D:D,"&lt;="&amp;E48,DISPONIBILIDADE!E:E,"&gt;="&amp;F48,DISPONIBILIDADE!F:F,"Ambas",DISPONIBILIDADE!G:G,"Sim"))&gt;0,COUNTIFS($G$3:$G$502,G48,$B$3:$B$502,B48,$E$3:$E$502,"&lt;"&amp;F48,$F$3:$F$502,"&gt;"&amp;E48,$A$3:$A$502,"&lt;&gt;"&amp;A48)=0),"Sim","Não"))</f>
        <v/>
      </c>
      <c r="L48" s="13" t="str">
        <f>IF(OR(G48="",D48=""),"",IF(COUNTIFS('RESTRIÇÕES'!A:A,G48,'RESTRIÇÕES'!C:C,D48,'RESTRIÇÕES'!F:F,"Sim")&gt;0,"Com restrição","Sem restrição"))</f>
        <v/>
      </c>
      <c r="M48" s="13" t="str">
        <f t="shared" si="2"/>
        <v/>
      </c>
    </row>
    <row r="49" ht="15.75" customHeight="1">
      <c r="A49" s="11" t="str">
        <f t="shared" si="3"/>
        <v/>
      </c>
      <c r="B49" s="28"/>
      <c r="C49" s="11" t="str">
        <f t="shared" si="4"/>
        <v/>
      </c>
      <c r="D49" s="10"/>
      <c r="E49" s="19"/>
      <c r="F49" s="19"/>
      <c r="G49" s="10"/>
      <c r="H49" s="11" t="str">
        <f>IF(G49="","",IFERROR(VLOOKUP(G49,PROFESSORES!A:B,2,FALSE),""))</f>
        <v/>
      </c>
      <c r="I49" s="10"/>
      <c r="J49" s="10"/>
      <c r="K49" s="11" t="str">
        <f>IF(OR(G49="",C49="",E49="",F49="",I49=""),"",IF(AND((COUNTIFS(DISPONIBILIDADE!A:A,G49,DISPONIBILIDADE!C:C,C49,DISPONIBILIDADE!D:D,"&lt;="&amp;E49,DISPONIBILIDADE!E:E,"&gt;="&amp;F49,DISPONIBILIDADE!F:F,I49,DISPONIBILIDADE!G:G,"Sim")+COUNTIFS(DISPONIBILIDADE!A:A,G49,DISPONIBILIDADE!C:C,C49,DISPONIBILIDADE!D:D,"&lt;="&amp;E49,DISPONIBILIDADE!E:E,"&gt;="&amp;F49,DISPONIBILIDADE!F:F,"Ambas",DISPONIBILIDADE!G:G,"Sim"))&gt;0,COUNTIFS($G$3:$G$502,G49,$B$3:$B$502,B49,$E$3:$E$502,"&lt;"&amp;F49,$F$3:$F$502,"&gt;"&amp;E49,$A$3:$A$502,"&lt;&gt;"&amp;A49)=0),"Sim","Não"))</f>
        <v/>
      </c>
      <c r="L49" s="11" t="str">
        <f>IF(OR(G49="",D49=""),"",IF(COUNTIFS('RESTRIÇÕES'!A:A,G49,'RESTRIÇÕES'!C:C,D49,'RESTRIÇÕES'!F:F,"Sim")&gt;0,"Com restrição","Sem restrição"))</f>
        <v/>
      </c>
      <c r="M49" s="11" t="str">
        <f t="shared" si="2"/>
        <v/>
      </c>
    </row>
    <row r="50" ht="15.75" customHeight="1">
      <c r="A50" s="13" t="str">
        <f t="shared" si="3"/>
        <v/>
      </c>
      <c r="B50" s="27"/>
      <c r="C50" s="13" t="str">
        <f t="shared" si="4"/>
        <v/>
      </c>
      <c r="D50" s="12"/>
      <c r="E50" s="21"/>
      <c r="F50" s="21"/>
      <c r="G50" s="12"/>
      <c r="H50" s="13" t="str">
        <f>IF(G50="","",IFERROR(VLOOKUP(G50,PROFESSORES!A:B,2,FALSE),""))</f>
        <v/>
      </c>
      <c r="I50" s="12"/>
      <c r="J50" s="12"/>
      <c r="K50" s="13" t="str">
        <f>IF(OR(G50="",C50="",E50="",F50="",I50=""),"",IF(AND((COUNTIFS(DISPONIBILIDADE!A:A,G50,DISPONIBILIDADE!C:C,C50,DISPONIBILIDADE!D:D,"&lt;="&amp;E50,DISPONIBILIDADE!E:E,"&gt;="&amp;F50,DISPONIBILIDADE!F:F,I50,DISPONIBILIDADE!G:G,"Sim")+COUNTIFS(DISPONIBILIDADE!A:A,G50,DISPONIBILIDADE!C:C,C50,DISPONIBILIDADE!D:D,"&lt;="&amp;E50,DISPONIBILIDADE!E:E,"&gt;="&amp;F50,DISPONIBILIDADE!F:F,"Ambas",DISPONIBILIDADE!G:G,"Sim"))&gt;0,COUNTIFS($G$3:$G$502,G50,$B$3:$B$502,B50,$E$3:$E$502,"&lt;"&amp;F50,$F$3:$F$502,"&gt;"&amp;E50,$A$3:$A$502,"&lt;&gt;"&amp;A50)=0),"Sim","Não"))</f>
        <v/>
      </c>
      <c r="L50" s="13" t="str">
        <f>IF(OR(G50="",D50=""),"",IF(COUNTIFS('RESTRIÇÕES'!A:A,G50,'RESTRIÇÕES'!C:C,D50,'RESTRIÇÕES'!F:F,"Sim")&gt;0,"Com restrição","Sem restrição"))</f>
        <v/>
      </c>
      <c r="M50" s="13" t="str">
        <f t="shared" si="2"/>
        <v/>
      </c>
    </row>
    <row r="51" ht="15.75" customHeight="1">
      <c r="A51" s="11" t="str">
        <f t="shared" si="3"/>
        <v/>
      </c>
      <c r="B51" s="28"/>
      <c r="C51" s="11" t="str">
        <f t="shared" si="4"/>
        <v/>
      </c>
      <c r="D51" s="10"/>
      <c r="E51" s="19"/>
      <c r="F51" s="19"/>
      <c r="G51" s="10"/>
      <c r="H51" s="11" t="str">
        <f>IF(G51="","",IFERROR(VLOOKUP(G51,PROFESSORES!A:B,2,FALSE),""))</f>
        <v/>
      </c>
      <c r="I51" s="10"/>
      <c r="J51" s="10"/>
      <c r="K51" s="11" t="str">
        <f>IF(OR(G51="",C51="",E51="",F51="",I51=""),"",IF(AND((COUNTIFS(DISPONIBILIDADE!A:A,G51,DISPONIBILIDADE!C:C,C51,DISPONIBILIDADE!D:D,"&lt;="&amp;E51,DISPONIBILIDADE!E:E,"&gt;="&amp;F51,DISPONIBILIDADE!F:F,I51,DISPONIBILIDADE!G:G,"Sim")+COUNTIFS(DISPONIBILIDADE!A:A,G51,DISPONIBILIDADE!C:C,C51,DISPONIBILIDADE!D:D,"&lt;="&amp;E51,DISPONIBILIDADE!E:E,"&gt;="&amp;F51,DISPONIBILIDADE!F:F,"Ambas",DISPONIBILIDADE!G:G,"Sim"))&gt;0,COUNTIFS($G$3:$G$502,G51,$B$3:$B$502,B51,$E$3:$E$502,"&lt;"&amp;F51,$F$3:$F$502,"&gt;"&amp;E51,$A$3:$A$502,"&lt;&gt;"&amp;A51)=0),"Sim","Não"))</f>
        <v/>
      </c>
      <c r="L51" s="11" t="str">
        <f>IF(OR(G51="",D51=""),"",IF(COUNTIFS('RESTRIÇÕES'!A:A,G51,'RESTRIÇÕES'!C:C,D51,'RESTRIÇÕES'!F:F,"Sim")&gt;0,"Com restrição","Sem restrição"))</f>
        <v/>
      </c>
      <c r="M51" s="11" t="str">
        <f t="shared" si="2"/>
        <v/>
      </c>
    </row>
    <row r="52" ht="15.75" customHeight="1">
      <c r="A52" s="13" t="str">
        <f t="shared" si="3"/>
        <v/>
      </c>
      <c r="B52" s="27"/>
      <c r="C52" s="13" t="str">
        <f t="shared" si="4"/>
        <v/>
      </c>
      <c r="D52" s="12"/>
      <c r="E52" s="21"/>
      <c r="F52" s="21"/>
      <c r="G52" s="12"/>
      <c r="H52" s="13" t="str">
        <f>IF(G52="","",IFERROR(VLOOKUP(G52,PROFESSORES!A:B,2,FALSE),""))</f>
        <v/>
      </c>
      <c r="I52" s="12"/>
      <c r="J52" s="12"/>
      <c r="K52" s="13" t="str">
        <f>IF(OR(G52="",C52="",E52="",F52="",I52=""),"",IF(AND((COUNTIFS(DISPONIBILIDADE!A:A,G52,DISPONIBILIDADE!C:C,C52,DISPONIBILIDADE!D:D,"&lt;="&amp;E52,DISPONIBILIDADE!E:E,"&gt;="&amp;F52,DISPONIBILIDADE!F:F,I52,DISPONIBILIDADE!G:G,"Sim")+COUNTIFS(DISPONIBILIDADE!A:A,G52,DISPONIBILIDADE!C:C,C52,DISPONIBILIDADE!D:D,"&lt;="&amp;E52,DISPONIBILIDADE!E:E,"&gt;="&amp;F52,DISPONIBILIDADE!F:F,"Ambas",DISPONIBILIDADE!G:G,"Sim"))&gt;0,COUNTIFS($G$3:$G$502,G52,$B$3:$B$502,B52,$E$3:$E$502,"&lt;"&amp;F52,$F$3:$F$502,"&gt;"&amp;E52,$A$3:$A$502,"&lt;&gt;"&amp;A52)=0),"Sim","Não"))</f>
        <v/>
      </c>
      <c r="L52" s="13" t="str">
        <f>IF(OR(G52="",D52=""),"",IF(COUNTIFS('RESTRIÇÕES'!A:A,G52,'RESTRIÇÕES'!C:C,D52,'RESTRIÇÕES'!F:F,"Sim")&gt;0,"Com restrição","Sem restrição"))</f>
        <v/>
      </c>
      <c r="M52" s="13" t="str">
        <f t="shared" si="2"/>
        <v/>
      </c>
    </row>
    <row r="53" ht="15.75" customHeight="1">
      <c r="A53" s="11" t="str">
        <f t="shared" si="3"/>
        <v/>
      </c>
      <c r="B53" s="28"/>
      <c r="C53" s="11" t="str">
        <f t="shared" si="4"/>
        <v/>
      </c>
      <c r="D53" s="10"/>
      <c r="E53" s="19"/>
      <c r="F53" s="19"/>
      <c r="G53" s="10"/>
      <c r="H53" s="11" t="str">
        <f>IF(G53="","",IFERROR(VLOOKUP(G53,PROFESSORES!A:B,2,FALSE),""))</f>
        <v/>
      </c>
      <c r="I53" s="10"/>
      <c r="J53" s="10"/>
      <c r="K53" s="11" t="str">
        <f>IF(OR(G53="",C53="",E53="",F53="",I53=""),"",IF(AND((COUNTIFS(DISPONIBILIDADE!A:A,G53,DISPONIBILIDADE!C:C,C53,DISPONIBILIDADE!D:D,"&lt;="&amp;E53,DISPONIBILIDADE!E:E,"&gt;="&amp;F53,DISPONIBILIDADE!F:F,I53,DISPONIBILIDADE!G:G,"Sim")+COUNTIFS(DISPONIBILIDADE!A:A,G53,DISPONIBILIDADE!C:C,C53,DISPONIBILIDADE!D:D,"&lt;="&amp;E53,DISPONIBILIDADE!E:E,"&gt;="&amp;F53,DISPONIBILIDADE!F:F,"Ambas",DISPONIBILIDADE!G:G,"Sim"))&gt;0,COUNTIFS($G$3:$G$502,G53,$B$3:$B$502,B53,$E$3:$E$502,"&lt;"&amp;F53,$F$3:$F$502,"&gt;"&amp;E53,$A$3:$A$502,"&lt;&gt;"&amp;A53)=0),"Sim","Não"))</f>
        <v/>
      </c>
      <c r="L53" s="11" t="str">
        <f>IF(OR(G53="",D53=""),"",IF(COUNTIFS('RESTRIÇÕES'!A:A,G53,'RESTRIÇÕES'!C:C,D53,'RESTRIÇÕES'!F:F,"Sim")&gt;0,"Com restrição","Sem restrição"))</f>
        <v/>
      </c>
      <c r="M53" s="11" t="str">
        <f t="shared" si="2"/>
        <v/>
      </c>
    </row>
    <row r="54" ht="15.75" customHeight="1">
      <c r="A54" s="13" t="str">
        <f t="shared" si="3"/>
        <v/>
      </c>
      <c r="B54" s="27"/>
      <c r="C54" s="13" t="str">
        <f t="shared" si="4"/>
        <v/>
      </c>
      <c r="D54" s="12"/>
      <c r="E54" s="21"/>
      <c r="F54" s="21"/>
      <c r="G54" s="12"/>
      <c r="H54" s="13" t="str">
        <f>IF(G54="","",IFERROR(VLOOKUP(G54,PROFESSORES!A:B,2,FALSE),""))</f>
        <v/>
      </c>
      <c r="I54" s="12"/>
      <c r="J54" s="12"/>
      <c r="K54" s="13" t="str">
        <f>IF(OR(G54="",C54="",E54="",F54="",I54=""),"",IF(AND((COUNTIFS(DISPONIBILIDADE!A:A,G54,DISPONIBILIDADE!C:C,C54,DISPONIBILIDADE!D:D,"&lt;="&amp;E54,DISPONIBILIDADE!E:E,"&gt;="&amp;F54,DISPONIBILIDADE!F:F,I54,DISPONIBILIDADE!G:G,"Sim")+COUNTIFS(DISPONIBILIDADE!A:A,G54,DISPONIBILIDADE!C:C,C54,DISPONIBILIDADE!D:D,"&lt;="&amp;E54,DISPONIBILIDADE!E:E,"&gt;="&amp;F54,DISPONIBILIDADE!F:F,"Ambas",DISPONIBILIDADE!G:G,"Sim"))&gt;0,COUNTIFS($G$3:$G$502,G54,$B$3:$B$502,B54,$E$3:$E$502,"&lt;"&amp;F54,$F$3:$F$502,"&gt;"&amp;E54,$A$3:$A$502,"&lt;&gt;"&amp;A54)=0),"Sim","Não"))</f>
        <v/>
      </c>
      <c r="L54" s="13" t="str">
        <f>IF(OR(G54="",D54=""),"",IF(COUNTIFS('RESTRIÇÕES'!A:A,G54,'RESTRIÇÕES'!C:C,D54,'RESTRIÇÕES'!F:F,"Sim")&gt;0,"Com restrição","Sem restrição"))</f>
        <v/>
      </c>
      <c r="M54" s="13" t="str">
        <f t="shared" si="2"/>
        <v/>
      </c>
    </row>
    <row r="55" ht="15.75" customHeight="1">
      <c r="A55" s="11" t="str">
        <f t="shared" si="3"/>
        <v/>
      </c>
      <c r="B55" s="28"/>
      <c r="C55" s="11" t="str">
        <f t="shared" si="4"/>
        <v/>
      </c>
      <c r="D55" s="10"/>
      <c r="E55" s="19"/>
      <c r="F55" s="19"/>
      <c r="G55" s="10"/>
      <c r="H55" s="11" t="str">
        <f>IF(G55="","",IFERROR(VLOOKUP(G55,PROFESSORES!A:B,2,FALSE),""))</f>
        <v/>
      </c>
      <c r="I55" s="10"/>
      <c r="J55" s="10"/>
      <c r="K55" s="11" t="str">
        <f>IF(OR(G55="",C55="",E55="",F55="",I55=""),"",IF(AND((COUNTIFS(DISPONIBILIDADE!A:A,G55,DISPONIBILIDADE!C:C,C55,DISPONIBILIDADE!D:D,"&lt;="&amp;E55,DISPONIBILIDADE!E:E,"&gt;="&amp;F55,DISPONIBILIDADE!F:F,I55,DISPONIBILIDADE!G:G,"Sim")+COUNTIFS(DISPONIBILIDADE!A:A,G55,DISPONIBILIDADE!C:C,C55,DISPONIBILIDADE!D:D,"&lt;="&amp;E55,DISPONIBILIDADE!E:E,"&gt;="&amp;F55,DISPONIBILIDADE!F:F,"Ambas",DISPONIBILIDADE!G:G,"Sim"))&gt;0,COUNTIFS($G$3:$G$502,G55,$B$3:$B$502,B55,$E$3:$E$502,"&lt;"&amp;F55,$F$3:$F$502,"&gt;"&amp;E55,$A$3:$A$502,"&lt;&gt;"&amp;A55)=0),"Sim","Não"))</f>
        <v/>
      </c>
      <c r="L55" s="11" t="str">
        <f>IF(OR(G55="",D55=""),"",IF(COUNTIFS('RESTRIÇÕES'!A:A,G55,'RESTRIÇÕES'!C:C,D55,'RESTRIÇÕES'!F:F,"Sim")&gt;0,"Com restrição","Sem restrição"))</f>
        <v/>
      </c>
      <c r="M55" s="11" t="str">
        <f t="shared" si="2"/>
        <v/>
      </c>
    </row>
    <row r="56" ht="15.75" customHeight="1">
      <c r="A56" s="13" t="str">
        <f t="shared" si="3"/>
        <v/>
      </c>
      <c r="B56" s="27"/>
      <c r="C56" s="13" t="str">
        <f t="shared" si="4"/>
        <v/>
      </c>
      <c r="D56" s="12"/>
      <c r="E56" s="21"/>
      <c r="F56" s="21"/>
      <c r="G56" s="12"/>
      <c r="H56" s="13" t="str">
        <f>IF(G56="","",IFERROR(VLOOKUP(G56,PROFESSORES!A:B,2,FALSE),""))</f>
        <v/>
      </c>
      <c r="I56" s="12"/>
      <c r="J56" s="12"/>
      <c r="K56" s="13" t="str">
        <f>IF(OR(G56="",C56="",E56="",F56="",I56=""),"",IF(AND((COUNTIFS(DISPONIBILIDADE!A:A,G56,DISPONIBILIDADE!C:C,C56,DISPONIBILIDADE!D:D,"&lt;="&amp;E56,DISPONIBILIDADE!E:E,"&gt;="&amp;F56,DISPONIBILIDADE!F:F,I56,DISPONIBILIDADE!G:G,"Sim")+COUNTIFS(DISPONIBILIDADE!A:A,G56,DISPONIBILIDADE!C:C,C56,DISPONIBILIDADE!D:D,"&lt;="&amp;E56,DISPONIBILIDADE!E:E,"&gt;="&amp;F56,DISPONIBILIDADE!F:F,"Ambas",DISPONIBILIDADE!G:G,"Sim"))&gt;0,COUNTIFS($G$3:$G$502,G56,$B$3:$B$502,B56,$E$3:$E$502,"&lt;"&amp;F56,$F$3:$F$502,"&gt;"&amp;E56,$A$3:$A$502,"&lt;&gt;"&amp;A56)=0),"Sim","Não"))</f>
        <v/>
      </c>
      <c r="L56" s="13" t="str">
        <f>IF(OR(G56="",D56=""),"",IF(COUNTIFS('RESTRIÇÕES'!A:A,G56,'RESTRIÇÕES'!C:C,D56,'RESTRIÇÕES'!F:F,"Sim")&gt;0,"Com restrição","Sem restrição"))</f>
        <v/>
      </c>
      <c r="M56" s="13" t="str">
        <f t="shared" si="2"/>
        <v/>
      </c>
    </row>
    <row r="57" ht="15.75" customHeight="1">
      <c r="A57" s="11" t="str">
        <f t="shared" si="3"/>
        <v/>
      </c>
      <c r="B57" s="28"/>
      <c r="C57" s="11" t="str">
        <f t="shared" si="4"/>
        <v/>
      </c>
      <c r="D57" s="10"/>
      <c r="E57" s="19"/>
      <c r="F57" s="19"/>
      <c r="G57" s="10"/>
      <c r="H57" s="11" t="str">
        <f>IF(G57="","",IFERROR(VLOOKUP(G57,PROFESSORES!A:B,2,FALSE),""))</f>
        <v/>
      </c>
      <c r="I57" s="10"/>
      <c r="J57" s="10"/>
      <c r="K57" s="11" t="str">
        <f>IF(OR(G57="",C57="",E57="",F57="",I57=""),"",IF(AND((COUNTIFS(DISPONIBILIDADE!A:A,G57,DISPONIBILIDADE!C:C,C57,DISPONIBILIDADE!D:D,"&lt;="&amp;E57,DISPONIBILIDADE!E:E,"&gt;="&amp;F57,DISPONIBILIDADE!F:F,I57,DISPONIBILIDADE!G:G,"Sim")+COUNTIFS(DISPONIBILIDADE!A:A,G57,DISPONIBILIDADE!C:C,C57,DISPONIBILIDADE!D:D,"&lt;="&amp;E57,DISPONIBILIDADE!E:E,"&gt;="&amp;F57,DISPONIBILIDADE!F:F,"Ambas",DISPONIBILIDADE!G:G,"Sim"))&gt;0,COUNTIFS($G$3:$G$502,G57,$B$3:$B$502,B57,$E$3:$E$502,"&lt;"&amp;F57,$F$3:$F$502,"&gt;"&amp;E57,$A$3:$A$502,"&lt;&gt;"&amp;A57)=0),"Sim","Não"))</f>
        <v/>
      </c>
      <c r="L57" s="11" t="str">
        <f>IF(OR(G57="",D57=""),"",IF(COUNTIFS('RESTRIÇÕES'!A:A,G57,'RESTRIÇÕES'!C:C,D57,'RESTRIÇÕES'!F:F,"Sim")&gt;0,"Com restrição","Sem restrição"))</f>
        <v/>
      </c>
      <c r="M57" s="11" t="str">
        <f t="shared" si="2"/>
        <v/>
      </c>
    </row>
    <row r="58" ht="15.75" customHeight="1">
      <c r="A58" s="13" t="str">
        <f t="shared" si="3"/>
        <v/>
      </c>
      <c r="B58" s="27"/>
      <c r="C58" s="13" t="str">
        <f t="shared" si="4"/>
        <v/>
      </c>
      <c r="D58" s="12"/>
      <c r="E58" s="21"/>
      <c r="F58" s="21"/>
      <c r="G58" s="12"/>
      <c r="H58" s="13" t="str">
        <f>IF(G58="","",IFERROR(VLOOKUP(G58,PROFESSORES!A:B,2,FALSE),""))</f>
        <v/>
      </c>
      <c r="I58" s="12"/>
      <c r="J58" s="12"/>
      <c r="K58" s="13" t="str">
        <f>IF(OR(G58="",C58="",E58="",F58="",I58=""),"",IF(AND((COUNTIFS(DISPONIBILIDADE!A:A,G58,DISPONIBILIDADE!C:C,C58,DISPONIBILIDADE!D:D,"&lt;="&amp;E58,DISPONIBILIDADE!E:E,"&gt;="&amp;F58,DISPONIBILIDADE!F:F,I58,DISPONIBILIDADE!G:G,"Sim")+COUNTIFS(DISPONIBILIDADE!A:A,G58,DISPONIBILIDADE!C:C,C58,DISPONIBILIDADE!D:D,"&lt;="&amp;E58,DISPONIBILIDADE!E:E,"&gt;="&amp;F58,DISPONIBILIDADE!F:F,"Ambas",DISPONIBILIDADE!G:G,"Sim"))&gt;0,COUNTIFS($G$3:$G$502,G58,$B$3:$B$502,B58,$E$3:$E$502,"&lt;"&amp;F58,$F$3:$F$502,"&gt;"&amp;E58,$A$3:$A$502,"&lt;&gt;"&amp;A58)=0),"Sim","Não"))</f>
        <v/>
      </c>
      <c r="L58" s="13" t="str">
        <f>IF(OR(G58="",D58=""),"",IF(COUNTIFS('RESTRIÇÕES'!A:A,G58,'RESTRIÇÕES'!C:C,D58,'RESTRIÇÕES'!F:F,"Sim")&gt;0,"Com restrição","Sem restrição"))</f>
        <v/>
      </c>
      <c r="M58" s="13" t="str">
        <f t="shared" si="2"/>
        <v/>
      </c>
    </row>
    <row r="59" ht="15.75" customHeight="1">
      <c r="A59" s="11" t="str">
        <f t="shared" si="3"/>
        <v/>
      </c>
      <c r="B59" s="28"/>
      <c r="C59" s="11" t="str">
        <f t="shared" si="4"/>
        <v/>
      </c>
      <c r="D59" s="10"/>
      <c r="E59" s="19"/>
      <c r="F59" s="19"/>
      <c r="G59" s="10"/>
      <c r="H59" s="11" t="str">
        <f>IF(G59="","",IFERROR(VLOOKUP(G59,PROFESSORES!A:B,2,FALSE),""))</f>
        <v/>
      </c>
      <c r="I59" s="10"/>
      <c r="J59" s="10"/>
      <c r="K59" s="11" t="str">
        <f>IF(OR(G59="",C59="",E59="",F59="",I59=""),"",IF(AND((COUNTIFS(DISPONIBILIDADE!A:A,G59,DISPONIBILIDADE!C:C,C59,DISPONIBILIDADE!D:D,"&lt;="&amp;E59,DISPONIBILIDADE!E:E,"&gt;="&amp;F59,DISPONIBILIDADE!F:F,I59,DISPONIBILIDADE!G:G,"Sim")+COUNTIFS(DISPONIBILIDADE!A:A,G59,DISPONIBILIDADE!C:C,C59,DISPONIBILIDADE!D:D,"&lt;="&amp;E59,DISPONIBILIDADE!E:E,"&gt;="&amp;F59,DISPONIBILIDADE!F:F,"Ambas",DISPONIBILIDADE!G:G,"Sim"))&gt;0,COUNTIFS($G$3:$G$502,G59,$B$3:$B$502,B59,$E$3:$E$502,"&lt;"&amp;F59,$F$3:$F$502,"&gt;"&amp;E59,$A$3:$A$502,"&lt;&gt;"&amp;A59)=0),"Sim","Não"))</f>
        <v/>
      </c>
      <c r="L59" s="11" t="str">
        <f>IF(OR(G59="",D59=""),"",IF(COUNTIFS('RESTRIÇÕES'!A:A,G59,'RESTRIÇÕES'!C:C,D59,'RESTRIÇÕES'!F:F,"Sim")&gt;0,"Com restrição","Sem restrição"))</f>
        <v/>
      </c>
      <c r="M59" s="11" t="str">
        <f t="shared" si="2"/>
        <v/>
      </c>
    </row>
    <row r="60" ht="15.75" customHeight="1">
      <c r="A60" s="13" t="str">
        <f t="shared" si="3"/>
        <v/>
      </c>
      <c r="B60" s="27"/>
      <c r="C60" s="13" t="str">
        <f t="shared" si="4"/>
        <v/>
      </c>
      <c r="D60" s="12"/>
      <c r="E60" s="21"/>
      <c r="F60" s="21"/>
      <c r="G60" s="12"/>
      <c r="H60" s="13" t="str">
        <f>IF(G60="","",IFERROR(VLOOKUP(G60,PROFESSORES!A:B,2,FALSE),""))</f>
        <v/>
      </c>
      <c r="I60" s="12"/>
      <c r="J60" s="12"/>
      <c r="K60" s="13" t="str">
        <f>IF(OR(G60="",C60="",E60="",F60="",I60=""),"",IF(AND((COUNTIFS(DISPONIBILIDADE!A:A,G60,DISPONIBILIDADE!C:C,C60,DISPONIBILIDADE!D:D,"&lt;="&amp;E60,DISPONIBILIDADE!E:E,"&gt;="&amp;F60,DISPONIBILIDADE!F:F,I60,DISPONIBILIDADE!G:G,"Sim")+COUNTIFS(DISPONIBILIDADE!A:A,G60,DISPONIBILIDADE!C:C,C60,DISPONIBILIDADE!D:D,"&lt;="&amp;E60,DISPONIBILIDADE!E:E,"&gt;="&amp;F60,DISPONIBILIDADE!F:F,"Ambas",DISPONIBILIDADE!G:G,"Sim"))&gt;0,COUNTIFS($G$3:$G$502,G60,$B$3:$B$502,B60,$E$3:$E$502,"&lt;"&amp;F60,$F$3:$F$502,"&gt;"&amp;E60,$A$3:$A$502,"&lt;&gt;"&amp;A60)=0),"Sim","Não"))</f>
        <v/>
      </c>
      <c r="L60" s="13" t="str">
        <f>IF(OR(G60="",D60=""),"",IF(COUNTIFS('RESTRIÇÕES'!A:A,G60,'RESTRIÇÕES'!C:C,D60,'RESTRIÇÕES'!F:F,"Sim")&gt;0,"Com restrição","Sem restrição"))</f>
        <v/>
      </c>
      <c r="M60" s="13" t="str">
        <f t="shared" si="2"/>
        <v/>
      </c>
    </row>
    <row r="61" ht="15.75" customHeight="1">
      <c r="A61" s="11" t="str">
        <f t="shared" si="3"/>
        <v/>
      </c>
      <c r="B61" s="28"/>
      <c r="C61" s="11" t="str">
        <f t="shared" si="4"/>
        <v/>
      </c>
      <c r="D61" s="10"/>
      <c r="E61" s="19"/>
      <c r="F61" s="19"/>
      <c r="G61" s="10"/>
      <c r="H61" s="11" t="str">
        <f>IF(G61="","",IFERROR(VLOOKUP(G61,PROFESSORES!A:B,2,FALSE),""))</f>
        <v/>
      </c>
      <c r="I61" s="10"/>
      <c r="J61" s="10"/>
      <c r="K61" s="11" t="str">
        <f>IF(OR(G61="",C61="",E61="",F61="",I61=""),"",IF(AND((COUNTIFS(DISPONIBILIDADE!A:A,G61,DISPONIBILIDADE!C:C,C61,DISPONIBILIDADE!D:D,"&lt;="&amp;E61,DISPONIBILIDADE!E:E,"&gt;="&amp;F61,DISPONIBILIDADE!F:F,I61,DISPONIBILIDADE!G:G,"Sim")+COUNTIFS(DISPONIBILIDADE!A:A,G61,DISPONIBILIDADE!C:C,C61,DISPONIBILIDADE!D:D,"&lt;="&amp;E61,DISPONIBILIDADE!E:E,"&gt;="&amp;F61,DISPONIBILIDADE!F:F,"Ambas",DISPONIBILIDADE!G:G,"Sim"))&gt;0,COUNTIFS($G$3:$G$502,G61,$B$3:$B$502,B61,$E$3:$E$502,"&lt;"&amp;F61,$F$3:$F$502,"&gt;"&amp;E61,$A$3:$A$502,"&lt;&gt;"&amp;A61)=0),"Sim","Não"))</f>
        <v/>
      </c>
      <c r="L61" s="11" t="str">
        <f>IF(OR(G61="",D61=""),"",IF(COUNTIFS('RESTRIÇÕES'!A:A,G61,'RESTRIÇÕES'!C:C,D61,'RESTRIÇÕES'!F:F,"Sim")&gt;0,"Com restrição","Sem restrição"))</f>
        <v/>
      </c>
      <c r="M61" s="11" t="str">
        <f t="shared" si="2"/>
        <v/>
      </c>
    </row>
    <row r="62" ht="15.75" customHeight="1">
      <c r="A62" s="13" t="str">
        <f t="shared" si="3"/>
        <v/>
      </c>
      <c r="B62" s="27"/>
      <c r="C62" s="13" t="str">
        <f t="shared" si="4"/>
        <v/>
      </c>
      <c r="D62" s="12"/>
      <c r="E62" s="21"/>
      <c r="F62" s="21"/>
      <c r="G62" s="12"/>
      <c r="H62" s="13" t="str">
        <f>IF(G62="","",IFERROR(VLOOKUP(G62,PROFESSORES!A:B,2,FALSE),""))</f>
        <v/>
      </c>
      <c r="I62" s="12"/>
      <c r="J62" s="12"/>
      <c r="K62" s="13" t="str">
        <f>IF(OR(G62="",C62="",E62="",F62="",I62=""),"",IF(AND((COUNTIFS(DISPONIBILIDADE!A:A,G62,DISPONIBILIDADE!C:C,C62,DISPONIBILIDADE!D:D,"&lt;="&amp;E62,DISPONIBILIDADE!E:E,"&gt;="&amp;F62,DISPONIBILIDADE!F:F,I62,DISPONIBILIDADE!G:G,"Sim")+COUNTIFS(DISPONIBILIDADE!A:A,G62,DISPONIBILIDADE!C:C,C62,DISPONIBILIDADE!D:D,"&lt;="&amp;E62,DISPONIBILIDADE!E:E,"&gt;="&amp;F62,DISPONIBILIDADE!F:F,"Ambas",DISPONIBILIDADE!G:G,"Sim"))&gt;0,COUNTIFS($G$3:$G$502,G62,$B$3:$B$502,B62,$E$3:$E$502,"&lt;"&amp;F62,$F$3:$F$502,"&gt;"&amp;E62,$A$3:$A$502,"&lt;&gt;"&amp;A62)=0),"Sim","Não"))</f>
        <v/>
      </c>
      <c r="L62" s="13" t="str">
        <f>IF(OR(G62="",D62=""),"",IF(COUNTIFS('RESTRIÇÕES'!A:A,G62,'RESTRIÇÕES'!C:C,D62,'RESTRIÇÕES'!F:F,"Sim")&gt;0,"Com restrição","Sem restrição"))</f>
        <v/>
      </c>
      <c r="M62" s="13" t="str">
        <f t="shared" si="2"/>
        <v/>
      </c>
    </row>
    <row r="63" ht="15.75" customHeight="1">
      <c r="A63" s="11" t="str">
        <f t="shared" si="3"/>
        <v/>
      </c>
      <c r="B63" s="28"/>
      <c r="C63" s="11" t="str">
        <f t="shared" si="4"/>
        <v/>
      </c>
      <c r="D63" s="10"/>
      <c r="E63" s="19"/>
      <c r="F63" s="19"/>
      <c r="G63" s="10"/>
      <c r="H63" s="11" t="str">
        <f>IF(G63="","",IFERROR(VLOOKUP(G63,PROFESSORES!A:B,2,FALSE),""))</f>
        <v/>
      </c>
      <c r="I63" s="10"/>
      <c r="J63" s="10"/>
      <c r="K63" s="11" t="str">
        <f>IF(OR(G63="",C63="",E63="",F63="",I63=""),"",IF(AND((COUNTIFS(DISPONIBILIDADE!A:A,G63,DISPONIBILIDADE!C:C,C63,DISPONIBILIDADE!D:D,"&lt;="&amp;E63,DISPONIBILIDADE!E:E,"&gt;="&amp;F63,DISPONIBILIDADE!F:F,I63,DISPONIBILIDADE!G:G,"Sim")+COUNTIFS(DISPONIBILIDADE!A:A,G63,DISPONIBILIDADE!C:C,C63,DISPONIBILIDADE!D:D,"&lt;="&amp;E63,DISPONIBILIDADE!E:E,"&gt;="&amp;F63,DISPONIBILIDADE!F:F,"Ambas",DISPONIBILIDADE!G:G,"Sim"))&gt;0,COUNTIFS($G$3:$G$502,G63,$B$3:$B$502,B63,$E$3:$E$502,"&lt;"&amp;F63,$F$3:$F$502,"&gt;"&amp;E63,$A$3:$A$502,"&lt;&gt;"&amp;A63)=0),"Sim","Não"))</f>
        <v/>
      </c>
      <c r="L63" s="11" t="str">
        <f>IF(OR(G63="",D63=""),"",IF(COUNTIFS('RESTRIÇÕES'!A:A,G63,'RESTRIÇÕES'!C:C,D63,'RESTRIÇÕES'!F:F,"Sim")&gt;0,"Com restrição","Sem restrição"))</f>
        <v/>
      </c>
      <c r="M63" s="11" t="str">
        <f t="shared" si="2"/>
        <v/>
      </c>
    </row>
    <row r="64" ht="15.75" customHeight="1">
      <c r="A64" s="13" t="str">
        <f t="shared" si="3"/>
        <v/>
      </c>
      <c r="B64" s="27"/>
      <c r="C64" s="13" t="str">
        <f t="shared" si="4"/>
        <v/>
      </c>
      <c r="D64" s="12"/>
      <c r="E64" s="21"/>
      <c r="F64" s="21"/>
      <c r="G64" s="12"/>
      <c r="H64" s="13" t="str">
        <f>IF(G64="","",IFERROR(VLOOKUP(G64,PROFESSORES!A:B,2,FALSE),""))</f>
        <v/>
      </c>
      <c r="I64" s="12"/>
      <c r="J64" s="12"/>
      <c r="K64" s="13" t="str">
        <f>IF(OR(G64="",C64="",E64="",F64="",I64=""),"",IF(AND((COUNTIFS(DISPONIBILIDADE!A:A,G64,DISPONIBILIDADE!C:C,C64,DISPONIBILIDADE!D:D,"&lt;="&amp;E64,DISPONIBILIDADE!E:E,"&gt;="&amp;F64,DISPONIBILIDADE!F:F,I64,DISPONIBILIDADE!G:G,"Sim")+COUNTIFS(DISPONIBILIDADE!A:A,G64,DISPONIBILIDADE!C:C,C64,DISPONIBILIDADE!D:D,"&lt;="&amp;E64,DISPONIBILIDADE!E:E,"&gt;="&amp;F64,DISPONIBILIDADE!F:F,"Ambas",DISPONIBILIDADE!G:G,"Sim"))&gt;0,COUNTIFS($G$3:$G$502,G64,$B$3:$B$502,B64,$E$3:$E$502,"&lt;"&amp;F64,$F$3:$F$502,"&gt;"&amp;E64,$A$3:$A$502,"&lt;&gt;"&amp;A64)=0),"Sim","Não"))</f>
        <v/>
      </c>
      <c r="L64" s="13" t="str">
        <f>IF(OR(G64="",D64=""),"",IF(COUNTIFS('RESTRIÇÕES'!A:A,G64,'RESTRIÇÕES'!C:C,D64,'RESTRIÇÕES'!F:F,"Sim")&gt;0,"Com restrição","Sem restrição"))</f>
        <v/>
      </c>
      <c r="M64" s="13" t="str">
        <f t="shared" si="2"/>
        <v/>
      </c>
    </row>
    <row r="65" ht="15.75" customHeight="1">
      <c r="A65" s="11" t="str">
        <f t="shared" si="3"/>
        <v/>
      </c>
      <c r="B65" s="28"/>
      <c r="C65" s="11" t="str">
        <f t="shared" si="4"/>
        <v/>
      </c>
      <c r="D65" s="10"/>
      <c r="E65" s="19"/>
      <c r="F65" s="19"/>
      <c r="G65" s="10"/>
      <c r="H65" s="11" t="str">
        <f>IF(G65="","",IFERROR(VLOOKUP(G65,PROFESSORES!A:B,2,FALSE),""))</f>
        <v/>
      </c>
      <c r="I65" s="10"/>
      <c r="J65" s="10"/>
      <c r="K65" s="11" t="str">
        <f>IF(OR(G65="",C65="",E65="",F65="",I65=""),"",IF(AND((COUNTIFS(DISPONIBILIDADE!A:A,G65,DISPONIBILIDADE!C:C,C65,DISPONIBILIDADE!D:D,"&lt;="&amp;E65,DISPONIBILIDADE!E:E,"&gt;="&amp;F65,DISPONIBILIDADE!F:F,I65,DISPONIBILIDADE!G:G,"Sim")+COUNTIFS(DISPONIBILIDADE!A:A,G65,DISPONIBILIDADE!C:C,C65,DISPONIBILIDADE!D:D,"&lt;="&amp;E65,DISPONIBILIDADE!E:E,"&gt;="&amp;F65,DISPONIBILIDADE!F:F,"Ambas",DISPONIBILIDADE!G:G,"Sim"))&gt;0,COUNTIFS($G$3:$G$502,G65,$B$3:$B$502,B65,$E$3:$E$502,"&lt;"&amp;F65,$F$3:$F$502,"&gt;"&amp;E65,$A$3:$A$502,"&lt;&gt;"&amp;A65)=0),"Sim","Não"))</f>
        <v/>
      </c>
      <c r="L65" s="11" t="str">
        <f>IF(OR(G65="",D65=""),"",IF(COUNTIFS('RESTRIÇÕES'!A:A,G65,'RESTRIÇÕES'!C:C,D65,'RESTRIÇÕES'!F:F,"Sim")&gt;0,"Com restrição","Sem restrição"))</f>
        <v/>
      </c>
      <c r="M65" s="11" t="str">
        <f t="shared" si="2"/>
        <v/>
      </c>
    </row>
    <row r="66" ht="15.75" customHeight="1">
      <c r="A66" s="13" t="str">
        <f t="shared" si="3"/>
        <v/>
      </c>
      <c r="B66" s="27"/>
      <c r="C66" s="13" t="str">
        <f t="shared" si="4"/>
        <v/>
      </c>
      <c r="D66" s="12"/>
      <c r="E66" s="21"/>
      <c r="F66" s="21"/>
      <c r="G66" s="12"/>
      <c r="H66" s="13" t="str">
        <f>IF(G66="","",IFERROR(VLOOKUP(G66,PROFESSORES!A:B,2,FALSE),""))</f>
        <v/>
      </c>
      <c r="I66" s="12"/>
      <c r="J66" s="12"/>
      <c r="K66" s="13" t="str">
        <f>IF(OR(G66="",C66="",E66="",F66="",I66=""),"",IF(AND((COUNTIFS(DISPONIBILIDADE!A:A,G66,DISPONIBILIDADE!C:C,C66,DISPONIBILIDADE!D:D,"&lt;="&amp;E66,DISPONIBILIDADE!E:E,"&gt;="&amp;F66,DISPONIBILIDADE!F:F,I66,DISPONIBILIDADE!G:G,"Sim")+COUNTIFS(DISPONIBILIDADE!A:A,G66,DISPONIBILIDADE!C:C,C66,DISPONIBILIDADE!D:D,"&lt;="&amp;E66,DISPONIBILIDADE!E:E,"&gt;="&amp;F66,DISPONIBILIDADE!F:F,"Ambas",DISPONIBILIDADE!G:G,"Sim"))&gt;0,COUNTIFS($G$3:$G$502,G66,$B$3:$B$502,B66,$E$3:$E$502,"&lt;"&amp;F66,$F$3:$F$502,"&gt;"&amp;E66,$A$3:$A$502,"&lt;&gt;"&amp;A66)=0),"Sim","Não"))</f>
        <v/>
      </c>
      <c r="L66" s="13" t="str">
        <f>IF(OR(G66="",D66=""),"",IF(COUNTIFS('RESTRIÇÕES'!A:A,G66,'RESTRIÇÕES'!C:C,D66,'RESTRIÇÕES'!F:F,"Sim")&gt;0,"Com restrição","Sem restrição"))</f>
        <v/>
      </c>
      <c r="M66" s="13" t="str">
        <f t="shared" si="2"/>
        <v/>
      </c>
    </row>
    <row r="67" ht="15.75" customHeight="1">
      <c r="A67" s="11" t="str">
        <f t="shared" si="3"/>
        <v/>
      </c>
      <c r="B67" s="28"/>
      <c r="C67" s="11" t="str">
        <f t="shared" si="4"/>
        <v/>
      </c>
      <c r="D67" s="10"/>
      <c r="E67" s="19"/>
      <c r="F67" s="19"/>
      <c r="G67" s="10"/>
      <c r="H67" s="11" t="str">
        <f>IF(G67="","",IFERROR(VLOOKUP(G67,PROFESSORES!A:B,2,FALSE),""))</f>
        <v/>
      </c>
      <c r="I67" s="10"/>
      <c r="J67" s="10"/>
      <c r="K67" s="11" t="str">
        <f>IF(OR(G67="",C67="",E67="",F67="",I67=""),"",IF(AND((COUNTIFS(DISPONIBILIDADE!A:A,G67,DISPONIBILIDADE!C:C,C67,DISPONIBILIDADE!D:D,"&lt;="&amp;E67,DISPONIBILIDADE!E:E,"&gt;="&amp;F67,DISPONIBILIDADE!F:F,I67,DISPONIBILIDADE!G:G,"Sim")+COUNTIFS(DISPONIBILIDADE!A:A,G67,DISPONIBILIDADE!C:C,C67,DISPONIBILIDADE!D:D,"&lt;="&amp;E67,DISPONIBILIDADE!E:E,"&gt;="&amp;F67,DISPONIBILIDADE!F:F,"Ambas",DISPONIBILIDADE!G:G,"Sim"))&gt;0,COUNTIFS($G$3:$G$502,G67,$B$3:$B$502,B67,$E$3:$E$502,"&lt;"&amp;F67,$F$3:$F$502,"&gt;"&amp;E67,$A$3:$A$502,"&lt;&gt;"&amp;A67)=0),"Sim","Não"))</f>
        <v/>
      </c>
      <c r="L67" s="11" t="str">
        <f>IF(OR(G67="",D67=""),"",IF(COUNTIFS('RESTRIÇÕES'!A:A,G67,'RESTRIÇÕES'!C:C,D67,'RESTRIÇÕES'!F:F,"Sim")&gt;0,"Com restrição","Sem restrição"))</f>
        <v/>
      </c>
      <c r="M67" s="11" t="str">
        <f t="shared" si="2"/>
        <v/>
      </c>
    </row>
    <row r="68" ht="15.75" customHeight="1">
      <c r="A68" s="13" t="str">
        <f t="shared" si="3"/>
        <v/>
      </c>
      <c r="B68" s="27"/>
      <c r="C68" s="13" t="str">
        <f t="shared" si="4"/>
        <v/>
      </c>
      <c r="D68" s="12"/>
      <c r="E68" s="21"/>
      <c r="F68" s="21"/>
      <c r="G68" s="12"/>
      <c r="H68" s="13" t="str">
        <f>IF(G68="","",IFERROR(VLOOKUP(G68,PROFESSORES!A:B,2,FALSE),""))</f>
        <v/>
      </c>
      <c r="I68" s="12"/>
      <c r="J68" s="12"/>
      <c r="K68" s="13" t="str">
        <f>IF(OR(G68="",C68="",E68="",F68="",I68=""),"",IF(AND((COUNTIFS(DISPONIBILIDADE!A:A,G68,DISPONIBILIDADE!C:C,C68,DISPONIBILIDADE!D:D,"&lt;="&amp;E68,DISPONIBILIDADE!E:E,"&gt;="&amp;F68,DISPONIBILIDADE!F:F,I68,DISPONIBILIDADE!G:G,"Sim")+COUNTIFS(DISPONIBILIDADE!A:A,G68,DISPONIBILIDADE!C:C,C68,DISPONIBILIDADE!D:D,"&lt;="&amp;E68,DISPONIBILIDADE!E:E,"&gt;="&amp;F68,DISPONIBILIDADE!F:F,"Ambas",DISPONIBILIDADE!G:G,"Sim"))&gt;0,COUNTIFS($G$3:$G$502,G68,$B$3:$B$502,B68,$E$3:$E$502,"&lt;"&amp;F68,$F$3:$F$502,"&gt;"&amp;E68,$A$3:$A$502,"&lt;&gt;"&amp;A68)=0),"Sim","Não"))</f>
        <v/>
      </c>
      <c r="L68" s="13" t="str">
        <f>IF(OR(G68="",D68=""),"",IF(COUNTIFS('RESTRIÇÕES'!A:A,G68,'RESTRIÇÕES'!C:C,D68,'RESTRIÇÕES'!F:F,"Sim")&gt;0,"Com restrição","Sem restrição"))</f>
        <v/>
      </c>
      <c r="M68" s="13" t="str">
        <f t="shared" si="2"/>
        <v/>
      </c>
    </row>
    <row r="69" ht="15.75" customHeight="1">
      <c r="A69" s="11" t="str">
        <f t="shared" si="3"/>
        <v/>
      </c>
      <c r="B69" s="28"/>
      <c r="C69" s="11" t="str">
        <f t="shared" si="4"/>
        <v/>
      </c>
      <c r="D69" s="10"/>
      <c r="E69" s="19"/>
      <c r="F69" s="19"/>
      <c r="G69" s="10"/>
      <c r="H69" s="11" t="str">
        <f>IF(G69="","",IFERROR(VLOOKUP(G69,PROFESSORES!A:B,2,FALSE),""))</f>
        <v/>
      </c>
      <c r="I69" s="10"/>
      <c r="J69" s="10"/>
      <c r="K69" s="11" t="str">
        <f>IF(OR(G69="",C69="",E69="",F69="",I69=""),"",IF(AND((COUNTIFS(DISPONIBILIDADE!A:A,G69,DISPONIBILIDADE!C:C,C69,DISPONIBILIDADE!D:D,"&lt;="&amp;E69,DISPONIBILIDADE!E:E,"&gt;="&amp;F69,DISPONIBILIDADE!F:F,I69,DISPONIBILIDADE!G:G,"Sim")+COUNTIFS(DISPONIBILIDADE!A:A,G69,DISPONIBILIDADE!C:C,C69,DISPONIBILIDADE!D:D,"&lt;="&amp;E69,DISPONIBILIDADE!E:E,"&gt;="&amp;F69,DISPONIBILIDADE!F:F,"Ambas",DISPONIBILIDADE!G:G,"Sim"))&gt;0,COUNTIFS($G$3:$G$502,G69,$B$3:$B$502,B69,$E$3:$E$502,"&lt;"&amp;F69,$F$3:$F$502,"&gt;"&amp;E69,$A$3:$A$502,"&lt;&gt;"&amp;A69)=0),"Sim","Não"))</f>
        <v/>
      </c>
      <c r="L69" s="11" t="str">
        <f>IF(OR(G69="",D69=""),"",IF(COUNTIFS('RESTRIÇÕES'!A:A,G69,'RESTRIÇÕES'!C:C,D69,'RESTRIÇÕES'!F:F,"Sim")&gt;0,"Com restrição","Sem restrição"))</f>
        <v/>
      </c>
      <c r="M69" s="11" t="str">
        <f t="shared" si="2"/>
        <v/>
      </c>
    </row>
    <row r="70" ht="15.75" customHeight="1">
      <c r="A70" s="13" t="str">
        <f t="shared" si="3"/>
        <v/>
      </c>
      <c r="B70" s="27"/>
      <c r="C70" s="13" t="str">
        <f t="shared" si="4"/>
        <v/>
      </c>
      <c r="D70" s="12"/>
      <c r="E70" s="21"/>
      <c r="F70" s="21"/>
      <c r="G70" s="12"/>
      <c r="H70" s="13" t="str">
        <f>IF(G70="","",IFERROR(VLOOKUP(G70,PROFESSORES!A:B,2,FALSE),""))</f>
        <v/>
      </c>
      <c r="I70" s="12"/>
      <c r="J70" s="12"/>
      <c r="K70" s="13" t="str">
        <f>IF(OR(G70="",C70="",E70="",F70="",I70=""),"",IF(AND((COUNTIFS(DISPONIBILIDADE!A:A,G70,DISPONIBILIDADE!C:C,C70,DISPONIBILIDADE!D:D,"&lt;="&amp;E70,DISPONIBILIDADE!E:E,"&gt;="&amp;F70,DISPONIBILIDADE!F:F,I70,DISPONIBILIDADE!G:G,"Sim")+COUNTIFS(DISPONIBILIDADE!A:A,G70,DISPONIBILIDADE!C:C,C70,DISPONIBILIDADE!D:D,"&lt;="&amp;E70,DISPONIBILIDADE!E:E,"&gt;="&amp;F70,DISPONIBILIDADE!F:F,"Ambas",DISPONIBILIDADE!G:G,"Sim"))&gt;0,COUNTIFS($G$3:$G$502,G70,$B$3:$B$502,B70,$E$3:$E$502,"&lt;"&amp;F70,$F$3:$F$502,"&gt;"&amp;E70,$A$3:$A$502,"&lt;&gt;"&amp;A70)=0),"Sim","Não"))</f>
        <v/>
      </c>
      <c r="L70" s="13" t="str">
        <f>IF(OR(G70="",D70=""),"",IF(COUNTIFS('RESTRIÇÕES'!A:A,G70,'RESTRIÇÕES'!C:C,D70,'RESTRIÇÕES'!F:F,"Sim")&gt;0,"Com restrição","Sem restrição"))</f>
        <v/>
      </c>
      <c r="M70" s="13" t="str">
        <f t="shared" si="2"/>
        <v/>
      </c>
    </row>
    <row r="71" ht="15.75" customHeight="1">
      <c r="A71" s="11" t="str">
        <f t="shared" si="3"/>
        <v/>
      </c>
      <c r="B71" s="28"/>
      <c r="C71" s="11" t="str">
        <f t="shared" si="4"/>
        <v/>
      </c>
      <c r="D71" s="10"/>
      <c r="E71" s="19"/>
      <c r="F71" s="19"/>
      <c r="G71" s="10"/>
      <c r="H71" s="11" t="str">
        <f>IF(G71="","",IFERROR(VLOOKUP(G71,PROFESSORES!A:B,2,FALSE),""))</f>
        <v/>
      </c>
      <c r="I71" s="10"/>
      <c r="J71" s="10"/>
      <c r="K71" s="11" t="str">
        <f>IF(OR(G71="",C71="",E71="",F71="",I71=""),"",IF(AND((COUNTIFS(DISPONIBILIDADE!A:A,G71,DISPONIBILIDADE!C:C,C71,DISPONIBILIDADE!D:D,"&lt;="&amp;E71,DISPONIBILIDADE!E:E,"&gt;="&amp;F71,DISPONIBILIDADE!F:F,I71,DISPONIBILIDADE!G:G,"Sim")+COUNTIFS(DISPONIBILIDADE!A:A,G71,DISPONIBILIDADE!C:C,C71,DISPONIBILIDADE!D:D,"&lt;="&amp;E71,DISPONIBILIDADE!E:E,"&gt;="&amp;F71,DISPONIBILIDADE!F:F,"Ambas",DISPONIBILIDADE!G:G,"Sim"))&gt;0,COUNTIFS($G$3:$G$502,G71,$B$3:$B$502,B71,$E$3:$E$502,"&lt;"&amp;F71,$F$3:$F$502,"&gt;"&amp;E71,$A$3:$A$502,"&lt;&gt;"&amp;A71)=0),"Sim","Não"))</f>
        <v/>
      </c>
      <c r="L71" s="11" t="str">
        <f>IF(OR(G71="",D71=""),"",IF(COUNTIFS('RESTRIÇÕES'!A:A,G71,'RESTRIÇÕES'!C:C,D71,'RESTRIÇÕES'!F:F,"Sim")&gt;0,"Com restrição","Sem restrição"))</f>
        <v/>
      </c>
      <c r="M71" s="11" t="str">
        <f t="shared" si="2"/>
        <v/>
      </c>
    </row>
    <row r="72" ht="15.75" customHeight="1">
      <c r="A72" s="13" t="str">
        <f t="shared" si="3"/>
        <v/>
      </c>
      <c r="B72" s="27"/>
      <c r="C72" s="13" t="str">
        <f t="shared" si="4"/>
        <v/>
      </c>
      <c r="D72" s="12"/>
      <c r="E72" s="21"/>
      <c r="F72" s="21"/>
      <c r="G72" s="12"/>
      <c r="H72" s="13" t="str">
        <f>IF(G72="","",IFERROR(VLOOKUP(G72,PROFESSORES!A:B,2,FALSE),""))</f>
        <v/>
      </c>
      <c r="I72" s="12"/>
      <c r="J72" s="12"/>
      <c r="K72" s="13" t="str">
        <f>IF(OR(G72="",C72="",E72="",F72="",I72=""),"",IF(AND((COUNTIFS(DISPONIBILIDADE!A:A,G72,DISPONIBILIDADE!C:C,C72,DISPONIBILIDADE!D:D,"&lt;="&amp;E72,DISPONIBILIDADE!E:E,"&gt;="&amp;F72,DISPONIBILIDADE!F:F,I72,DISPONIBILIDADE!G:G,"Sim")+COUNTIFS(DISPONIBILIDADE!A:A,G72,DISPONIBILIDADE!C:C,C72,DISPONIBILIDADE!D:D,"&lt;="&amp;E72,DISPONIBILIDADE!E:E,"&gt;="&amp;F72,DISPONIBILIDADE!F:F,"Ambas",DISPONIBILIDADE!G:G,"Sim"))&gt;0,COUNTIFS($G$3:$G$502,G72,$B$3:$B$502,B72,$E$3:$E$502,"&lt;"&amp;F72,$F$3:$F$502,"&gt;"&amp;E72,$A$3:$A$502,"&lt;&gt;"&amp;A72)=0),"Sim","Não"))</f>
        <v/>
      </c>
      <c r="L72" s="13" t="str">
        <f>IF(OR(G72="",D72=""),"",IF(COUNTIFS('RESTRIÇÕES'!A:A,G72,'RESTRIÇÕES'!C:C,D72,'RESTRIÇÕES'!F:F,"Sim")&gt;0,"Com restrição","Sem restrição"))</f>
        <v/>
      </c>
      <c r="M72" s="13" t="str">
        <f t="shared" si="2"/>
        <v/>
      </c>
    </row>
    <row r="73" ht="15.75" customHeight="1">
      <c r="A73" s="11" t="str">
        <f t="shared" si="3"/>
        <v/>
      </c>
      <c r="B73" s="28"/>
      <c r="C73" s="11" t="str">
        <f t="shared" si="4"/>
        <v/>
      </c>
      <c r="D73" s="10"/>
      <c r="E73" s="19"/>
      <c r="F73" s="19"/>
      <c r="G73" s="10"/>
      <c r="H73" s="11" t="str">
        <f>IF(G73="","",IFERROR(VLOOKUP(G73,PROFESSORES!A:B,2,FALSE),""))</f>
        <v/>
      </c>
      <c r="I73" s="10"/>
      <c r="J73" s="10"/>
      <c r="K73" s="11" t="str">
        <f>IF(OR(G73="",C73="",E73="",F73="",I73=""),"",IF(AND((COUNTIFS(DISPONIBILIDADE!A:A,G73,DISPONIBILIDADE!C:C,C73,DISPONIBILIDADE!D:D,"&lt;="&amp;E73,DISPONIBILIDADE!E:E,"&gt;="&amp;F73,DISPONIBILIDADE!F:F,I73,DISPONIBILIDADE!G:G,"Sim")+COUNTIFS(DISPONIBILIDADE!A:A,G73,DISPONIBILIDADE!C:C,C73,DISPONIBILIDADE!D:D,"&lt;="&amp;E73,DISPONIBILIDADE!E:E,"&gt;="&amp;F73,DISPONIBILIDADE!F:F,"Ambas",DISPONIBILIDADE!G:G,"Sim"))&gt;0,COUNTIFS($G$3:$G$502,G73,$B$3:$B$502,B73,$E$3:$E$502,"&lt;"&amp;F73,$F$3:$F$502,"&gt;"&amp;E73,$A$3:$A$502,"&lt;&gt;"&amp;A73)=0),"Sim","Não"))</f>
        <v/>
      </c>
      <c r="L73" s="11" t="str">
        <f>IF(OR(G73="",D73=""),"",IF(COUNTIFS('RESTRIÇÕES'!A:A,G73,'RESTRIÇÕES'!C:C,D73,'RESTRIÇÕES'!F:F,"Sim")&gt;0,"Com restrição","Sem restrição"))</f>
        <v/>
      </c>
      <c r="M73" s="11" t="str">
        <f t="shared" si="2"/>
        <v/>
      </c>
    </row>
    <row r="74" ht="15.75" customHeight="1">
      <c r="A74" s="13" t="str">
        <f t="shared" si="3"/>
        <v/>
      </c>
      <c r="B74" s="27"/>
      <c r="C74" s="13" t="str">
        <f t="shared" si="4"/>
        <v/>
      </c>
      <c r="D74" s="12"/>
      <c r="E74" s="21"/>
      <c r="F74" s="21"/>
      <c r="G74" s="12"/>
      <c r="H74" s="13" t="str">
        <f>IF(G74="","",IFERROR(VLOOKUP(G74,PROFESSORES!A:B,2,FALSE),""))</f>
        <v/>
      </c>
      <c r="I74" s="12"/>
      <c r="J74" s="12"/>
      <c r="K74" s="13" t="str">
        <f>IF(OR(G74="",C74="",E74="",F74="",I74=""),"",IF(AND((COUNTIFS(DISPONIBILIDADE!A:A,G74,DISPONIBILIDADE!C:C,C74,DISPONIBILIDADE!D:D,"&lt;="&amp;E74,DISPONIBILIDADE!E:E,"&gt;="&amp;F74,DISPONIBILIDADE!F:F,I74,DISPONIBILIDADE!G:G,"Sim")+COUNTIFS(DISPONIBILIDADE!A:A,G74,DISPONIBILIDADE!C:C,C74,DISPONIBILIDADE!D:D,"&lt;="&amp;E74,DISPONIBILIDADE!E:E,"&gt;="&amp;F74,DISPONIBILIDADE!F:F,"Ambas",DISPONIBILIDADE!G:G,"Sim"))&gt;0,COUNTIFS($G$3:$G$502,G74,$B$3:$B$502,B74,$E$3:$E$502,"&lt;"&amp;F74,$F$3:$F$502,"&gt;"&amp;E74,$A$3:$A$502,"&lt;&gt;"&amp;A74)=0),"Sim","Não"))</f>
        <v/>
      </c>
      <c r="L74" s="13" t="str">
        <f>IF(OR(G74="",D74=""),"",IF(COUNTIFS('RESTRIÇÕES'!A:A,G74,'RESTRIÇÕES'!C:C,D74,'RESTRIÇÕES'!F:F,"Sim")&gt;0,"Com restrição","Sem restrição"))</f>
        <v/>
      </c>
      <c r="M74" s="13" t="str">
        <f t="shared" si="2"/>
        <v/>
      </c>
    </row>
    <row r="75" ht="15.75" customHeight="1">
      <c r="A75" s="11" t="str">
        <f t="shared" si="3"/>
        <v/>
      </c>
      <c r="B75" s="28"/>
      <c r="C75" s="11" t="str">
        <f t="shared" si="4"/>
        <v/>
      </c>
      <c r="D75" s="10"/>
      <c r="E75" s="19"/>
      <c r="F75" s="19"/>
      <c r="G75" s="10"/>
      <c r="H75" s="11" t="str">
        <f>IF(G75="","",IFERROR(VLOOKUP(G75,PROFESSORES!A:B,2,FALSE),""))</f>
        <v/>
      </c>
      <c r="I75" s="10"/>
      <c r="J75" s="10"/>
      <c r="K75" s="11" t="str">
        <f>IF(OR(G75="",C75="",E75="",F75="",I75=""),"",IF(AND((COUNTIFS(DISPONIBILIDADE!A:A,G75,DISPONIBILIDADE!C:C,C75,DISPONIBILIDADE!D:D,"&lt;="&amp;E75,DISPONIBILIDADE!E:E,"&gt;="&amp;F75,DISPONIBILIDADE!F:F,I75,DISPONIBILIDADE!G:G,"Sim")+COUNTIFS(DISPONIBILIDADE!A:A,G75,DISPONIBILIDADE!C:C,C75,DISPONIBILIDADE!D:D,"&lt;="&amp;E75,DISPONIBILIDADE!E:E,"&gt;="&amp;F75,DISPONIBILIDADE!F:F,"Ambas",DISPONIBILIDADE!G:G,"Sim"))&gt;0,COUNTIFS($G$3:$G$502,G75,$B$3:$B$502,B75,$E$3:$E$502,"&lt;"&amp;F75,$F$3:$F$502,"&gt;"&amp;E75,$A$3:$A$502,"&lt;&gt;"&amp;A75)=0),"Sim","Não"))</f>
        <v/>
      </c>
      <c r="L75" s="11" t="str">
        <f>IF(OR(G75="",D75=""),"",IF(COUNTIFS('RESTRIÇÕES'!A:A,G75,'RESTRIÇÕES'!C:C,D75,'RESTRIÇÕES'!F:F,"Sim")&gt;0,"Com restrição","Sem restrição"))</f>
        <v/>
      </c>
      <c r="M75" s="11" t="str">
        <f t="shared" si="2"/>
        <v/>
      </c>
    </row>
    <row r="76" ht="15.75" customHeight="1">
      <c r="A76" s="13" t="str">
        <f t="shared" si="3"/>
        <v/>
      </c>
      <c r="B76" s="27"/>
      <c r="C76" s="13" t="str">
        <f t="shared" si="4"/>
        <v/>
      </c>
      <c r="D76" s="12"/>
      <c r="E76" s="21"/>
      <c r="F76" s="21"/>
      <c r="G76" s="12"/>
      <c r="H76" s="13" t="str">
        <f>IF(G76="","",IFERROR(VLOOKUP(G76,PROFESSORES!A:B,2,FALSE),""))</f>
        <v/>
      </c>
      <c r="I76" s="12"/>
      <c r="J76" s="12"/>
      <c r="K76" s="13" t="str">
        <f>IF(OR(G76="",C76="",E76="",F76="",I76=""),"",IF(AND((COUNTIFS(DISPONIBILIDADE!A:A,G76,DISPONIBILIDADE!C:C,C76,DISPONIBILIDADE!D:D,"&lt;="&amp;E76,DISPONIBILIDADE!E:E,"&gt;="&amp;F76,DISPONIBILIDADE!F:F,I76,DISPONIBILIDADE!G:G,"Sim")+COUNTIFS(DISPONIBILIDADE!A:A,G76,DISPONIBILIDADE!C:C,C76,DISPONIBILIDADE!D:D,"&lt;="&amp;E76,DISPONIBILIDADE!E:E,"&gt;="&amp;F76,DISPONIBILIDADE!F:F,"Ambas",DISPONIBILIDADE!G:G,"Sim"))&gt;0,COUNTIFS($G$3:$G$502,G76,$B$3:$B$502,B76,$E$3:$E$502,"&lt;"&amp;F76,$F$3:$F$502,"&gt;"&amp;E76,$A$3:$A$502,"&lt;&gt;"&amp;A76)=0),"Sim","Não"))</f>
        <v/>
      </c>
      <c r="L76" s="13" t="str">
        <f>IF(OR(G76="",D76=""),"",IF(COUNTIFS('RESTRIÇÕES'!A:A,G76,'RESTRIÇÕES'!C:C,D76,'RESTRIÇÕES'!F:F,"Sim")&gt;0,"Com restrição","Sem restrição"))</f>
        <v/>
      </c>
      <c r="M76" s="13" t="str">
        <f t="shared" si="2"/>
        <v/>
      </c>
    </row>
    <row r="77" ht="15.75" customHeight="1">
      <c r="A77" s="11" t="str">
        <f t="shared" si="3"/>
        <v/>
      </c>
      <c r="B77" s="28"/>
      <c r="C77" s="11" t="str">
        <f t="shared" si="4"/>
        <v/>
      </c>
      <c r="D77" s="10"/>
      <c r="E77" s="19"/>
      <c r="F77" s="19"/>
      <c r="G77" s="10"/>
      <c r="H77" s="11" t="str">
        <f>IF(G77="","",IFERROR(VLOOKUP(G77,PROFESSORES!A:B,2,FALSE),""))</f>
        <v/>
      </c>
      <c r="I77" s="10"/>
      <c r="J77" s="10"/>
      <c r="K77" s="11" t="str">
        <f>IF(OR(G77="",C77="",E77="",F77="",I77=""),"",IF(AND((COUNTIFS(DISPONIBILIDADE!A:A,G77,DISPONIBILIDADE!C:C,C77,DISPONIBILIDADE!D:D,"&lt;="&amp;E77,DISPONIBILIDADE!E:E,"&gt;="&amp;F77,DISPONIBILIDADE!F:F,I77,DISPONIBILIDADE!G:G,"Sim")+COUNTIFS(DISPONIBILIDADE!A:A,G77,DISPONIBILIDADE!C:C,C77,DISPONIBILIDADE!D:D,"&lt;="&amp;E77,DISPONIBILIDADE!E:E,"&gt;="&amp;F77,DISPONIBILIDADE!F:F,"Ambas",DISPONIBILIDADE!G:G,"Sim"))&gt;0,COUNTIFS($G$3:$G$502,G77,$B$3:$B$502,B77,$E$3:$E$502,"&lt;"&amp;F77,$F$3:$F$502,"&gt;"&amp;E77,$A$3:$A$502,"&lt;&gt;"&amp;A77)=0),"Sim","Não"))</f>
        <v/>
      </c>
      <c r="L77" s="11" t="str">
        <f>IF(OR(G77="",D77=""),"",IF(COUNTIFS('RESTRIÇÕES'!A:A,G77,'RESTRIÇÕES'!C:C,D77,'RESTRIÇÕES'!F:F,"Sim")&gt;0,"Com restrição","Sem restrição"))</f>
        <v/>
      </c>
      <c r="M77" s="11" t="str">
        <f t="shared" si="2"/>
        <v/>
      </c>
    </row>
    <row r="78" ht="15.75" customHeight="1">
      <c r="A78" s="13" t="str">
        <f t="shared" si="3"/>
        <v/>
      </c>
      <c r="B78" s="27"/>
      <c r="C78" s="13" t="str">
        <f t="shared" si="4"/>
        <v/>
      </c>
      <c r="D78" s="12"/>
      <c r="E78" s="21"/>
      <c r="F78" s="21"/>
      <c r="G78" s="12"/>
      <c r="H78" s="13" t="str">
        <f>IF(G78="","",IFERROR(VLOOKUP(G78,PROFESSORES!A:B,2,FALSE),""))</f>
        <v/>
      </c>
      <c r="I78" s="12"/>
      <c r="J78" s="12"/>
      <c r="K78" s="13" t="str">
        <f>IF(OR(G78="",C78="",E78="",F78="",I78=""),"",IF(AND((COUNTIFS(DISPONIBILIDADE!A:A,G78,DISPONIBILIDADE!C:C,C78,DISPONIBILIDADE!D:D,"&lt;="&amp;E78,DISPONIBILIDADE!E:E,"&gt;="&amp;F78,DISPONIBILIDADE!F:F,I78,DISPONIBILIDADE!G:G,"Sim")+COUNTIFS(DISPONIBILIDADE!A:A,G78,DISPONIBILIDADE!C:C,C78,DISPONIBILIDADE!D:D,"&lt;="&amp;E78,DISPONIBILIDADE!E:E,"&gt;="&amp;F78,DISPONIBILIDADE!F:F,"Ambas",DISPONIBILIDADE!G:G,"Sim"))&gt;0,COUNTIFS($G$3:$G$502,G78,$B$3:$B$502,B78,$E$3:$E$502,"&lt;"&amp;F78,$F$3:$F$502,"&gt;"&amp;E78,$A$3:$A$502,"&lt;&gt;"&amp;A78)=0),"Sim","Não"))</f>
        <v/>
      </c>
      <c r="L78" s="13" t="str">
        <f>IF(OR(G78="",D78=""),"",IF(COUNTIFS('RESTRIÇÕES'!A:A,G78,'RESTRIÇÕES'!C:C,D78,'RESTRIÇÕES'!F:F,"Sim")&gt;0,"Com restrição","Sem restrição"))</f>
        <v/>
      </c>
      <c r="M78" s="13" t="str">
        <f t="shared" si="2"/>
        <v/>
      </c>
    </row>
    <row r="79" ht="15.75" customHeight="1">
      <c r="A79" s="11" t="str">
        <f t="shared" si="3"/>
        <v/>
      </c>
      <c r="B79" s="28"/>
      <c r="C79" s="11" t="str">
        <f t="shared" si="4"/>
        <v/>
      </c>
      <c r="D79" s="10"/>
      <c r="E79" s="19"/>
      <c r="F79" s="19"/>
      <c r="G79" s="10"/>
      <c r="H79" s="11" t="str">
        <f>IF(G79="","",IFERROR(VLOOKUP(G79,PROFESSORES!A:B,2,FALSE),""))</f>
        <v/>
      </c>
      <c r="I79" s="10"/>
      <c r="J79" s="10"/>
      <c r="K79" s="11" t="str">
        <f>IF(OR(G79="",C79="",E79="",F79="",I79=""),"",IF(AND((COUNTIFS(DISPONIBILIDADE!A:A,G79,DISPONIBILIDADE!C:C,C79,DISPONIBILIDADE!D:D,"&lt;="&amp;E79,DISPONIBILIDADE!E:E,"&gt;="&amp;F79,DISPONIBILIDADE!F:F,I79,DISPONIBILIDADE!G:G,"Sim")+COUNTIFS(DISPONIBILIDADE!A:A,G79,DISPONIBILIDADE!C:C,C79,DISPONIBILIDADE!D:D,"&lt;="&amp;E79,DISPONIBILIDADE!E:E,"&gt;="&amp;F79,DISPONIBILIDADE!F:F,"Ambas",DISPONIBILIDADE!G:G,"Sim"))&gt;0,COUNTIFS($G$3:$G$502,G79,$B$3:$B$502,B79,$E$3:$E$502,"&lt;"&amp;F79,$F$3:$F$502,"&gt;"&amp;E79,$A$3:$A$502,"&lt;&gt;"&amp;A79)=0),"Sim","Não"))</f>
        <v/>
      </c>
      <c r="L79" s="11" t="str">
        <f>IF(OR(G79="",D79=""),"",IF(COUNTIFS('RESTRIÇÕES'!A:A,G79,'RESTRIÇÕES'!C:C,D79,'RESTRIÇÕES'!F:F,"Sim")&gt;0,"Com restrição","Sem restrição"))</f>
        <v/>
      </c>
      <c r="M79" s="11" t="str">
        <f t="shared" si="2"/>
        <v/>
      </c>
    </row>
    <row r="80" ht="15.75" customHeight="1">
      <c r="A80" s="13" t="str">
        <f t="shared" si="3"/>
        <v/>
      </c>
      <c r="B80" s="27"/>
      <c r="C80" s="13" t="str">
        <f t="shared" si="4"/>
        <v/>
      </c>
      <c r="D80" s="12"/>
      <c r="E80" s="21"/>
      <c r="F80" s="21"/>
      <c r="G80" s="12"/>
      <c r="H80" s="13" t="str">
        <f>IF(G80="","",IFERROR(VLOOKUP(G80,PROFESSORES!A:B,2,FALSE),""))</f>
        <v/>
      </c>
      <c r="I80" s="12"/>
      <c r="J80" s="12"/>
      <c r="K80" s="13" t="str">
        <f>IF(OR(G80="",C80="",E80="",F80="",I80=""),"",IF(AND((COUNTIFS(DISPONIBILIDADE!A:A,G80,DISPONIBILIDADE!C:C,C80,DISPONIBILIDADE!D:D,"&lt;="&amp;E80,DISPONIBILIDADE!E:E,"&gt;="&amp;F80,DISPONIBILIDADE!F:F,I80,DISPONIBILIDADE!G:G,"Sim")+COUNTIFS(DISPONIBILIDADE!A:A,G80,DISPONIBILIDADE!C:C,C80,DISPONIBILIDADE!D:D,"&lt;="&amp;E80,DISPONIBILIDADE!E:E,"&gt;="&amp;F80,DISPONIBILIDADE!F:F,"Ambas",DISPONIBILIDADE!G:G,"Sim"))&gt;0,COUNTIFS($G$3:$G$502,G80,$B$3:$B$502,B80,$E$3:$E$502,"&lt;"&amp;F80,$F$3:$F$502,"&gt;"&amp;E80,$A$3:$A$502,"&lt;&gt;"&amp;A80)=0),"Sim","Não"))</f>
        <v/>
      </c>
      <c r="L80" s="13" t="str">
        <f>IF(OR(G80="",D80=""),"",IF(COUNTIFS('RESTRIÇÕES'!A:A,G80,'RESTRIÇÕES'!C:C,D80,'RESTRIÇÕES'!F:F,"Sim")&gt;0,"Com restrição","Sem restrição"))</f>
        <v/>
      </c>
      <c r="M80" s="13" t="str">
        <f t="shared" si="2"/>
        <v/>
      </c>
    </row>
    <row r="81" ht="15.75" customHeight="1">
      <c r="A81" s="11" t="str">
        <f t="shared" si="3"/>
        <v/>
      </c>
      <c r="B81" s="28"/>
      <c r="C81" s="11" t="str">
        <f t="shared" si="4"/>
        <v/>
      </c>
      <c r="D81" s="10"/>
      <c r="E81" s="19"/>
      <c r="F81" s="19"/>
      <c r="G81" s="10"/>
      <c r="H81" s="11" t="str">
        <f>IF(G81="","",IFERROR(VLOOKUP(G81,PROFESSORES!A:B,2,FALSE),""))</f>
        <v/>
      </c>
      <c r="I81" s="10"/>
      <c r="J81" s="10"/>
      <c r="K81" s="11" t="str">
        <f>IF(OR(G81="",C81="",E81="",F81="",I81=""),"",IF(AND((COUNTIFS(DISPONIBILIDADE!A:A,G81,DISPONIBILIDADE!C:C,C81,DISPONIBILIDADE!D:D,"&lt;="&amp;E81,DISPONIBILIDADE!E:E,"&gt;="&amp;F81,DISPONIBILIDADE!F:F,I81,DISPONIBILIDADE!G:G,"Sim")+COUNTIFS(DISPONIBILIDADE!A:A,G81,DISPONIBILIDADE!C:C,C81,DISPONIBILIDADE!D:D,"&lt;="&amp;E81,DISPONIBILIDADE!E:E,"&gt;="&amp;F81,DISPONIBILIDADE!F:F,"Ambas",DISPONIBILIDADE!G:G,"Sim"))&gt;0,COUNTIFS($G$3:$G$502,G81,$B$3:$B$502,B81,$E$3:$E$502,"&lt;"&amp;F81,$F$3:$F$502,"&gt;"&amp;E81,$A$3:$A$502,"&lt;&gt;"&amp;A81)=0),"Sim","Não"))</f>
        <v/>
      </c>
      <c r="L81" s="11" t="str">
        <f>IF(OR(G81="",D81=""),"",IF(COUNTIFS('RESTRIÇÕES'!A:A,G81,'RESTRIÇÕES'!C:C,D81,'RESTRIÇÕES'!F:F,"Sim")&gt;0,"Com restrição","Sem restrição"))</f>
        <v/>
      </c>
      <c r="M81" s="11" t="str">
        <f t="shared" si="2"/>
        <v/>
      </c>
    </row>
    <row r="82" ht="15.75" customHeight="1">
      <c r="A82" s="13" t="str">
        <f t="shared" si="3"/>
        <v/>
      </c>
      <c r="B82" s="27"/>
      <c r="C82" s="13" t="str">
        <f t="shared" si="4"/>
        <v/>
      </c>
      <c r="D82" s="12"/>
      <c r="E82" s="21"/>
      <c r="F82" s="21"/>
      <c r="G82" s="12"/>
      <c r="H82" s="13" t="str">
        <f>IF(G82="","",IFERROR(VLOOKUP(G82,PROFESSORES!A:B,2,FALSE),""))</f>
        <v/>
      </c>
      <c r="I82" s="12"/>
      <c r="J82" s="12"/>
      <c r="K82" s="13" t="str">
        <f>IF(OR(G82="",C82="",E82="",F82="",I82=""),"",IF(AND((COUNTIFS(DISPONIBILIDADE!A:A,G82,DISPONIBILIDADE!C:C,C82,DISPONIBILIDADE!D:D,"&lt;="&amp;E82,DISPONIBILIDADE!E:E,"&gt;="&amp;F82,DISPONIBILIDADE!F:F,I82,DISPONIBILIDADE!G:G,"Sim")+COUNTIFS(DISPONIBILIDADE!A:A,G82,DISPONIBILIDADE!C:C,C82,DISPONIBILIDADE!D:D,"&lt;="&amp;E82,DISPONIBILIDADE!E:E,"&gt;="&amp;F82,DISPONIBILIDADE!F:F,"Ambas",DISPONIBILIDADE!G:G,"Sim"))&gt;0,COUNTIFS($G$3:$G$502,G82,$B$3:$B$502,B82,$E$3:$E$502,"&lt;"&amp;F82,$F$3:$F$502,"&gt;"&amp;E82,$A$3:$A$502,"&lt;&gt;"&amp;A82)=0),"Sim","Não"))</f>
        <v/>
      </c>
      <c r="L82" s="13" t="str">
        <f>IF(OR(G82="",D82=""),"",IF(COUNTIFS('RESTRIÇÕES'!A:A,G82,'RESTRIÇÕES'!C:C,D82,'RESTRIÇÕES'!F:F,"Sim")&gt;0,"Com restrição","Sem restrição"))</f>
        <v/>
      </c>
      <c r="M82" s="13" t="str">
        <f t="shared" si="2"/>
        <v/>
      </c>
    </row>
    <row r="83" ht="15.75" customHeight="1">
      <c r="A83" s="11" t="str">
        <f t="shared" si="3"/>
        <v/>
      </c>
      <c r="B83" s="28"/>
      <c r="C83" s="11" t="str">
        <f t="shared" si="4"/>
        <v/>
      </c>
      <c r="D83" s="10"/>
      <c r="E83" s="19"/>
      <c r="F83" s="19"/>
      <c r="G83" s="10"/>
      <c r="H83" s="11" t="str">
        <f>IF(G83="","",IFERROR(VLOOKUP(G83,PROFESSORES!A:B,2,FALSE),""))</f>
        <v/>
      </c>
      <c r="I83" s="10"/>
      <c r="J83" s="10"/>
      <c r="K83" s="11" t="str">
        <f>IF(OR(G83="",C83="",E83="",F83="",I83=""),"",IF(AND((COUNTIFS(DISPONIBILIDADE!A:A,G83,DISPONIBILIDADE!C:C,C83,DISPONIBILIDADE!D:D,"&lt;="&amp;E83,DISPONIBILIDADE!E:E,"&gt;="&amp;F83,DISPONIBILIDADE!F:F,I83,DISPONIBILIDADE!G:G,"Sim")+COUNTIFS(DISPONIBILIDADE!A:A,G83,DISPONIBILIDADE!C:C,C83,DISPONIBILIDADE!D:D,"&lt;="&amp;E83,DISPONIBILIDADE!E:E,"&gt;="&amp;F83,DISPONIBILIDADE!F:F,"Ambas",DISPONIBILIDADE!G:G,"Sim"))&gt;0,COUNTIFS($G$3:$G$502,G83,$B$3:$B$502,B83,$E$3:$E$502,"&lt;"&amp;F83,$F$3:$F$502,"&gt;"&amp;E83,$A$3:$A$502,"&lt;&gt;"&amp;A83)=0),"Sim","Não"))</f>
        <v/>
      </c>
      <c r="L83" s="11" t="str">
        <f>IF(OR(G83="",D83=""),"",IF(COUNTIFS('RESTRIÇÕES'!A:A,G83,'RESTRIÇÕES'!C:C,D83,'RESTRIÇÕES'!F:F,"Sim")&gt;0,"Com restrição","Sem restrição"))</f>
        <v/>
      </c>
      <c r="M83" s="11" t="str">
        <f t="shared" si="2"/>
        <v/>
      </c>
    </row>
    <row r="84" ht="15.75" customHeight="1">
      <c r="A84" s="13" t="str">
        <f t="shared" si="3"/>
        <v/>
      </c>
      <c r="B84" s="27"/>
      <c r="C84" s="13" t="str">
        <f t="shared" si="4"/>
        <v/>
      </c>
      <c r="D84" s="12"/>
      <c r="E84" s="21"/>
      <c r="F84" s="21"/>
      <c r="G84" s="12"/>
      <c r="H84" s="13" t="str">
        <f>IF(G84="","",IFERROR(VLOOKUP(G84,PROFESSORES!A:B,2,FALSE),""))</f>
        <v/>
      </c>
      <c r="I84" s="12"/>
      <c r="J84" s="12"/>
      <c r="K84" s="13" t="str">
        <f>IF(OR(G84="",C84="",E84="",F84="",I84=""),"",IF(AND((COUNTIFS(DISPONIBILIDADE!A:A,G84,DISPONIBILIDADE!C:C,C84,DISPONIBILIDADE!D:D,"&lt;="&amp;E84,DISPONIBILIDADE!E:E,"&gt;="&amp;F84,DISPONIBILIDADE!F:F,I84,DISPONIBILIDADE!G:G,"Sim")+COUNTIFS(DISPONIBILIDADE!A:A,G84,DISPONIBILIDADE!C:C,C84,DISPONIBILIDADE!D:D,"&lt;="&amp;E84,DISPONIBILIDADE!E:E,"&gt;="&amp;F84,DISPONIBILIDADE!F:F,"Ambas",DISPONIBILIDADE!G:G,"Sim"))&gt;0,COUNTIFS($G$3:$G$502,G84,$B$3:$B$502,B84,$E$3:$E$502,"&lt;"&amp;F84,$F$3:$F$502,"&gt;"&amp;E84,$A$3:$A$502,"&lt;&gt;"&amp;A84)=0),"Sim","Não"))</f>
        <v/>
      </c>
      <c r="L84" s="13" t="str">
        <f>IF(OR(G84="",D84=""),"",IF(COUNTIFS('RESTRIÇÕES'!A:A,G84,'RESTRIÇÕES'!C:C,D84,'RESTRIÇÕES'!F:F,"Sim")&gt;0,"Com restrição","Sem restrição"))</f>
        <v/>
      </c>
      <c r="M84" s="13" t="str">
        <f t="shared" si="2"/>
        <v/>
      </c>
    </row>
    <row r="85" ht="15.75" customHeight="1">
      <c r="A85" s="11" t="str">
        <f t="shared" si="3"/>
        <v/>
      </c>
      <c r="B85" s="28"/>
      <c r="C85" s="11" t="str">
        <f t="shared" si="4"/>
        <v/>
      </c>
      <c r="D85" s="10"/>
      <c r="E85" s="19"/>
      <c r="F85" s="19"/>
      <c r="G85" s="10"/>
      <c r="H85" s="11" t="str">
        <f>IF(G85="","",IFERROR(VLOOKUP(G85,PROFESSORES!A:B,2,FALSE),""))</f>
        <v/>
      </c>
      <c r="I85" s="10"/>
      <c r="J85" s="10"/>
      <c r="K85" s="11" t="str">
        <f>IF(OR(G85="",C85="",E85="",F85="",I85=""),"",IF(AND((COUNTIFS(DISPONIBILIDADE!A:A,G85,DISPONIBILIDADE!C:C,C85,DISPONIBILIDADE!D:D,"&lt;="&amp;E85,DISPONIBILIDADE!E:E,"&gt;="&amp;F85,DISPONIBILIDADE!F:F,I85,DISPONIBILIDADE!G:G,"Sim")+COUNTIFS(DISPONIBILIDADE!A:A,G85,DISPONIBILIDADE!C:C,C85,DISPONIBILIDADE!D:D,"&lt;="&amp;E85,DISPONIBILIDADE!E:E,"&gt;="&amp;F85,DISPONIBILIDADE!F:F,"Ambas",DISPONIBILIDADE!G:G,"Sim"))&gt;0,COUNTIFS($G$3:$G$502,G85,$B$3:$B$502,B85,$E$3:$E$502,"&lt;"&amp;F85,$F$3:$F$502,"&gt;"&amp;E85,$A$3:$A$502,"&lt;&gt;"&amp;A85)=0),"Sim","Não"))</f>
        <v/>
      </c>
      <c r="L85" s="11" t="str">
        <f>IF(OR(G85="",D85=""),"",IF(COUNTIFS('RESTRIÇÕES'!A:A,G85,'RESTRIÇÕES'!C:C,D85,'RESTRIÇÕES'!F:F,"Sim")&gt;0,"Com restrição","Sem restrição"))</f>
        <v/>
      </c>
      <c r="M85" s="11" t="str">
        <f t="shared" si="2"/>
        <v/>
      </c>
    </row>
    <row r="86" ht="15.75" customHeight="1">
      <c r="A86" s="13" t="str">
        <f t="shared" si="3"/>
        <v/>
      </c>
      <c r="B86" s="27"/>
      <c r="C86" s="13" t="str">
        <f t="shared" si="4"/>
        <v/>
      </c>
      <c r="D86" s="12"/>
      <c r="E86" s="21"/>
      <c r="F86" s="21"/>
      <c r="G86" s="12"/>
      <c r="H86" s="13" t="str">
        <f>IF(G86="","",IFERROR(VLOOKUP(G86,PROFESSORES!A:B,2,FALSE),""))</f>
        <v/>
      </c>
      <c r="I86" s="12"/>
      <c r="J86" s="12"/>
      <c r="K86" s="13" t="str">
        <f>IF(OR(G86="",C86="",E86="",F86="",I86=""),"",IF(AND((COUNTIFS(DISPONIBILIDADE!A:A,G86,DISPONIBILIDADE!C:C,C86,DISPONIBILIDADE!D:D,"&lt;="&amp;E86,DISPONIBILIDADE!E:E,"&gt;="&amp;F86,DISPONIBILIDADE!F:F,I86,DISPONIBILIDADE!G:G,"Sim")+COUNTIFS(DISPONIBILIDADE!A:A,G86,DISPONIBILIDADE!C:C,C86,DISPONIBILIDADE!D:D,"&lt;="&amp;E86,DISPONIBILIDADE!E:E,"&gt;="&amp;F86,DISPONIBILIDADE!F:F,"Ambas",DISPONIBILIDADE!G:G,"Sim"))&gt;0,COUNTIFS($G$3:$G$502,G86,$B$3:$B$502,B86,$E$3:$E$502,"&lt;"&amp;F86,$F$3:$F$502,"&gt;"&amp;E86,$A$3:$A$502,"&lt;&gt;"&amp;A86)=0),"Sim","Não"))</f>
        <v/>
      </c>
      <c r="L86" s="13" t="str">
        <f>IF(OR(G86="",D86=""),"",IF(COUNTIFS('RESTRIÇÕES'!A:A,G86,'RESTRIÇÕES'!C:C,D86,'RESTRIÇÕES'!F:F,"Sim")&gt;0,"Com restrição","Sem restrição"))</f>
        <v/>
      </c>
      <c r="M86" s="13" t="str">
        <f t="shared" si="2"/>
        <v/>
      </c>
    </row>
    <row r="87" ht="15.75" customHeight="1">
      <c r="A87" s="11" t="str">
        <f t="shared" si="3"/>
        <v/>
      </c>
      <c r="B87" s="28"/>
      <c r="C87" s="11" t="str">
        <f t="shared" si="4"/>
        <v/>
      </c>
      <c r="D87" s="10"/>
      <c r="E87" s="19"/>
      <c r="F87" s="19"/>
      <c r="G87" s="10"/>
      <c r="H87" s="11" t="str">
        <f>IF(G87="","",IFERROR(VLOOKUP(G87,PROFESSORES!A:B,2,FALSE),""))</f>
        <v/>
      </c>
      <c r="I87" s="10"/>
      <c r="J87" s="10"/>
      <c r="K87" s="11" t="str">
        <f>IF(OR(G87="",C87="",E87="",F87="",I87=""),"",IF(AND((COUNTIFS(DISPONIBILIDADE!A:A,G87,DISPONIBILIDADE!C:C,C87,DISPONIBILIDADE!D:D,"&lt;="&amp;E87,DISPONIBILIDADE!E:E,"&gt;="&amp;F87,DISPONIBILIDADE!F:F,I87,DISPONIBILIDADE!G:G,"Sim")+COUNTIFS(DISPONIBILIDADE!A:A,G87,DISPONIBILIDADE!C:C,C87,DISPONIBILIDADE!D:D,"&lt;="&amp;E87,DISPONIBILIDADE!E:E,"&gt;="&amp;F87,DISPONIBILIDADE!F:F,"Ambas",DISPONIBILIDADE!G:G,"Sim"))&gt;0,COUNTIFS($G$3:$G$502,G87,$B$3:$B$502,B87,$E$3:$E$502,"&lt;"&amp;F87,$F$3:$F$502,"&gt;"&amp;E87,$A$3:$A$502,"&lt;&gt;"&amp;A87)=0),"Sim","Não"))</f>
        <v/>
      </c>
      <c r="L87" s="11" t="str">
        <f>IF(OR(G87="",D87=""),"",IF(COUNTIFS('RESTRIÇÕES'!A:A,G87,'RESTRIÇÕES'!C:C,D87,'RESTRIÇÕES'!F:F,"Sim")&gt;0,"Com restrição","Sem restrição"))</f>
        <v/>
      </c>
      <c r="M87" s="11" t="str">
        <f t="shared" si="2"/>
        <v/>
      </c>
    </row>
    <row r="88" ht="15.75" customHeight="1">
      <c r="A88" s="13" t="str">
        <f t="shared" si="3"/>
        <v/>
      </c>
      <c r="B88" s="27"/>
      <c r="C88" s="13" t="str">
        <f t="shared" si="4"/>
        <v/>
      </c>
      <c r="D88" s="12"/>
      <c r="E88" s="21"/>
      <c r="F88" s="21"/>
      <c r="G88" s="12"/>
      <c r="H88" s="13" t="str">
        <f>IF(G88="","",IFERROR(VLOOKUP(G88,PROFESSORES!A:B,2,FALSE),""))</f>
        <v/>
      </c>
      <c r="I88" s="12"/>
      <c r="J88" s="12"/>
      <c r="K88" s="13" t="str">
        <f>IF(OR(G88="",C88="",E88="",F88="",I88=""),"",IF(AND((COUNTIFS(DISPONIBILIDADE!A:A,G88,DISPONIBILIDADE!C:C,C88,DISPONIBILIDADE!D:D,"&lt;="&amp;E88,DISPONIBILIDADE!E:E,"&gt;="&amp;F88,DISPONIBILIDADE!F:F,I88,DISPONIBILIDADE!G:G,"Sim")+COUNTIFS(DISPONIBILIDADE!A:A,G88,DISPONIBILIDADE!C:C,C88,DISPONIBILIDADE!D:D,"&lt;="&amp;E88,DISPONIBILIDADE!E:E,"&gt;="&amp;F88,DISPONIBILIDADE!F:F,"Ambas",DISPONIBILIDADE!G:G,"Sim"))&gt;0,COUNTIFS($G$3:$G$502,G88,$B$3:$B$502,B88,$E$3:$E$502,"&lt;"&amp;F88,$F$3:$F$502,"&gt;"&amp;E88,$A$3:$A$502,"&lt;&gt;"&amp;A88)=0),"Sim","Não"))</f>
        <v/>
      </c>
      <c r="L88" s="13" t="str">
        <f>IF(OR(G88="",D88=""),"",IF(COUNTIFS('RESTRIÇÕES'!A:A,G88,'RESTRIÇÕES'!C:C,D88,'RESTRIÇÕES'!F:F,"Sim")&gt;0,"Com restrição","Sem restrição"))</f>
        <v/>
      </c>
      <c r="M88" s="13" t="str">
        <f t="shared" si="2"/>
        <v/>
      </c>
    </row>
    <row r="89" ht="15.75" customHeight="1">
      <c r="A89" s="11" t="str">
        <f t="shared" si="3"/>
        <v/>
      </c>
      <c r="B89" s="28"/>
      <c r="C89" s="11" t="str">
        <f t="shared" si="4"/>
        <v/>
      </c>
      <c r="D89" s="10"/>
      <c r="E89" s="19"/>
      <c r="F89" s="19"/>
      <c r="G89" s="10"/>
      <c r="H89" s="11" t="str">
        <f>IF(G89="","",IFERROR(VLOOKUP(G89,PROFESSORES!A:B,2,FALSE),""))</f>
        <v/>
      </c>
      <c r="I89" s="10"/>
      <c r="J89" s="10"/>
      <c r="K89" s="11" t="str">
        <f>IF(OR(G89="",C89="",E89="",F89="",I89=""),"",IF(AND((COUNTIFS(DISPONIBILIDADE!A:A,G89,DISPONIBILIDADE!C:C,C89,DISPONIBILIDADE!D:D,"&lt;="&amp;E89,DISPONIBILIDADE!E:E,"&gt;="&amp;F89,DISPONIBILIDADE!F:F,I89,DISPONIBILIDADE!G:G,"Sim")+COUNTIFS(DISPONIBILIDADE!A:A,G89,DISPONIBILIDADE!C:C,C89,DISPONIBILIDADE!D:D,"&lt;="&amp;E89,DISPONIBILIDADE!E:E,"&gt;="&amp;F89,DISPONIBILIDADE!F:F,"Ambas",DISPONIBILIDADE!G:G,"Sim"))&gt;0,COUNTIFS($G$3:$G$502,G89,$B$3:$B$502,B89,$E$3:$E$502,"&lt;"&amp;F89,$F$3:$F$502,"&gt;"&amp;E89,$A$3:$A$502,"&lt;&gt;"&amp;A89)=0),"Sim","Não"))</f>
        <v/>
      </c>
      <c r="L89" s="11" t="str">
        <f>IF(OR(G89="",D89=""),"",IF(COUNTIFS('RESTRIÇÕES'!A:A,G89,'RESTRIÇÕES'!C:C,D89,'RESTRIÇÕES'!F:F,"Sim")&gt;0,"Com restrição","Sem restrição"))</f>
        <v/>
      </c>
      <c r="M89" s="11" t="str">
        <f t="shared" si="2"/>
        <v/>
      </c>
    </row>
    <row r="90" ht="15.75" customHeight="1">
      <c r="A90" s="13" t="str">
        <f t="shared" si="3"/>
        <v/>
      </c>
      <c r="B90" s="27"/>
      <c r="C90" s="13" t="str">
        <f t="shared" si="4"/>
        <v/>
      </c>
      <c r="D90" s="12"/>
      <c r="E90" s="21"/>
      <c r="F90" s="21"/>
      <c r="G90" s="12"/>
      <c r="H90" s="13" t="str">
        <f>IF(G90="","",IFERROR(VLOOKUP(G90,PROFESSORES!A:B,2,FALSE),""))</f>
        <v/>
      </c>
      <c r="I90" s="12"/>
      <c r="J90" s="12"/>
      <c r="K90" s="13" t="str">
        <f>IF(OR(G90="",C90="",E90="",F90="",I90=""),"",IF(AND((COUNTIFS(DISPONIBILIDADE!A:A,G90,DISPONIBILIDADE!C:C,C90,DISPONIBILIDADE!D:D,"&lt;="&amp;E90,DISPONIBILIDADE!E:E,"&gt;="&amp;F90,DISPONIBILIDADE!F:F,I90,DISPONIBILIDADE!G:G,"Sim")+COUNTIFS(DISPONIBILIDADE!A:A,G90,DISPONIBILIDADE!C:C,C90,DISPONIBILIDADE!D:D,"&lt;="&amp;E90,DISPONIBILIDADE!E:E,"&gt;="&amp;F90,DISPONIBILIDADE!F:F,"Ambas",DISPONIBILIDADE!G:G,"Sim"))&gt;0,COUNTIFS($G$3:$G$502,G90,$B$3:$B$502,B90,$E$3:$E$502,"&lt;"&amp;F90,$F$3:$F$502,"&gt;"&amp;E90,$A$3:$A$502,"&lt;&gt;"&amp;A90)=0),"Sim","Não"))</f>
        <v/>
      </c>
      <c r="L90" s="13" t="str">
        <f>IF(OR(G90="",D90=""),"",IF(COUNTIFS('RESTRIÇÕES'!A:A,G90,'RESTRIÇÕES'!C:C,D90,'RESTRIÇÕES'!F:F,"Sim")&gt;0,"Com restrição","Sem restrição"))</f>
        <v/>
      </c>
      <c r="M90" s="13" t="str">
        <f t="shared" si="2"/>
        <v/>
      </c>
    </row>
    <row r="91" ht="15.75" customHeight="1">
      <c r="A91" s="11" t="str">
        <f t="shared" si="3"/>
        <v/>
      </c>
      <c r="B91" s="28"/>
      <c r="C91" s="11" t="str">
        <f t="shared" si="4"/>
        <v/>
      </c>
      <c r="D91" s="10"/>
      <c r="E91" s="19"/>
      <c r="F91" s="19"/>
      <c r="G91" s="10"/>
      <c r="H91" s="11" t="str">
        <f>IF(G91="","",IFERROR(VLOOKUP(G91,PROFESSORES!A:B,2,FALSE),""))</f>
        <v/>
      </c>
      <c r="I91" s="10"/>
      <c r="J91" s="10"/>
      <c r="K91" s="11" t="str">
        <f>IF(OR(G91="",C91="",E91="",F91="",I91=""),"",IF(AND((COUNTIFS(DISPONIBILIDADE!A:A,G91,DISPONIBILIDADE!C:C,C91,DISPONIBILIDADE!D:D,"&lt;="&amp;E91,DISPONIBILIDADE!E:E,"&gt;="&amp;F91,DISPONIBILIDADE!F:F,I91,DISPONIBILIDADE!G:G,"Sim")+COUNTIFS(DISPONIBILIDADE!A:A,G91,DISPONIBILIDADE!C:C,C91,DISPONIBILIDADE!D:D,"&lt;="&amp;E91,DISPONIBILIDADE!E:E,"&gt;="&amp;F91,DISPONIBILIDADE!F:F,"Ambas",DISPONIBILIDADE!G:G,"Sim"))&gt;0,COUNTIFS($G$3:$G$502,G91,$B$3:$B$502,B91,$E$3:$E$502,"&lt;"&amp;F91,$F$3:$F$502,"&gt;"&amp;E91,$A$3:$A$502,"&lt;&gt;"&amp;A91)=0),"Sim","Não"))</f>
        <v/>
      </c>
      <c r="L91" s="11" t="str">
        <f>IF(OR(G91="",D91=""),"",IF(COUNTIFS('RESTRIÇÕES'!A:A,G91,'RESTRIÇÕES'!C:C,D91,'RESTRIÇÕES'!F:F,"Sim")&gt;0,"Com restrição","Sem restrição"))</f>
        <v/>
      </c>
      <c r="M91" s="11" t="str">
        <f t="shared" si="2"/>
        <v/>
      </c>
    </row>
    <row r="92" ht="15.75" customHeight="1">
      <c r="A92" s="13" t="str">
        <f t="shared" si="3"/>
        <v/>
      </c>
      <c r="B92" s="27"/>
      <c r="C92" s="13" t="str">
        <f t="shared" si="4"/>
        <v/>
      </c>
      <c r="D92" s="12"/>
      <c r="E92" s="21"/>
      <c r="F92" s="21"/>
      <c r="G92" s="12"/>
      <c r="H92" s="13" t="str">
        <f>IF(G92="","",IFERROR(VLOOKUP(G92,PROFESSORES!A:B,2,FALSE),""))</f>
        <v/>
      </c>
      <c r="I92" s="12"/>
      <c r="J92" s="12"/>
      <c r="K92" s="13" t="str">
        <f>IF(OR(G92="",C92="",E92="",F92="",I92=""),"",IF(AND((COUNTIFS(DISPONIBILIDADE!A:A,G92,DISPONIBILIDADE!C:C,C92,DISPONIBILIDADE!D:D,"&lt;="&amp;E92,DISPONIBILIDADE!E:E,"&gt;="&amp;F92,DISPONIBILIDADE!F:F,I92,DISPONIBILIDADE!G:G,"Sim")+COUNTIFS(DISPONIBILIDADE!A:A,G92,DISPONIBILIDADE!C:C,C92,DISPONIBILIDADE!D:D,"&lt;="&amp;E92,DISPONIBILIDADE!E:E,"&gt;="&amp;F92,DISPONIBILIDADE!F:F,"Ambas",DISPONIBILIDADE!G:G,"Sim"))&gt;0,COUNTIFS($G$3:$G$502,G92,$B$3:$B$502,B92,$E$3:$E$502,"&lt;"&amp;F92,$F$3:$F$502,"&gt;"&amp;E92,$A$3:$A$502,"&lt;&gt;"&amp;A92)=0),"Sim","Não"))</f>
        <v/>
      </c>
      <c r="L92" s="13" t="str">
        <f>IF(OR(G92="",D92=""),"",IF(COUNTIFS('RESTRIÇÕES'!A:A,G92,'RESTRIÇÕES'!C:C,D92,'RESTRIÇÕES'!F:F,"Sim")&gt;0,"Com restrição","Sem restrição"))</f>
        <v/>
      </c>
      <c r="M92" s="13" t="str">
        <f t="shared" si="2"/>
        <v/>
      </c>
    </row>
    <row r="93" ht="15.75" customHeight="1">
      <c r="A93" s="11" t="str">
        <f t="shared" si="3"/>
        <v/>
      </c>
      <c r="B93" s="28"/>
      <c r="C93" s="11" t="str">
        <f t="shared" si="4"/>
        <v/>
      </c>
      <c r="D93" s="10"/>
      <c r="E93" s="19"/>
      <c r="F93" s="19"/>
      <c r="G93" s="10"/>
      <c r="H93" s="11" t="str">
        <f>IF(G93="","",IFERROR(VLOOKUP(G93,PROFESSORES!A:B,2,FALSE),""))</f>
        <v/>
      </c>
      <c r="I93" s="10"/>
      <c r="J93" s="10"/>
      <c r="K93" s="11" t="str">
        <f>IF(OR(G93="",C93="",E93="",F93="",I93=""),"",IF(AND((COUNTIFS(DISPONIBILIDADE!A:A,G93,DISPONIBILIDADE!C:C,C93,DISPONIBILIDADE!D:D,"&lt;="&amp;E93,DISPONIBILIDADE!E:E,"&gt;="&amp;F93,DISPONIBILIDADE!F:F,I93,DISPONIBILIDADE!G:G,"Sim")+COUNTIFS(DISPONIBILIDADE!A:A,G93,DISPONIBILIDADE!C:C,C93,DISPONIBILIDADE!D:D,"&lt;="&amp;E93,DISPONIBILIDADE!E:E,"&gt;="&amp;F93,DISPONIBILIDADE!F:F,"Ambas",DISPONIBILIDADE!G:G,"Sim"))&gt;0,COUNTIFS($G$3:$G$502,G93,$B$3:$B$502,B93,$E$3:$E$502,"&lt;"&amp;F93,$F$3:$F$502,"&gt;"&amp;E93,$A$3:$A$502,"&lt;&gt;"&amp;A93)=0),"Sim","Não"))</f>
        <v/>
      </c>
      <c r="L93" s="11" t="str">
        <f>IF(OR(G93="",D93=""),"",IF(COUNTIFS('RESTRIÇÕES'!A:A,G93,'RESTRIÇÕES'!C:C,D93,'RESTRIÇÕES'!F:F,"Sim")&gt;0,"Com restrição","Sem restrição"))</f>
        <v/>
      </c>
      <c r="M93" s="11" t="str">
        <f t="shared" si="2"/>
        <v/>
      </c>
    </row>
    <row r="94" ht="15.75" customHeight="1">
      <c r="A94" s="13" t="str">
        <f t="shared" si="3"/>
        <v/>
      </c>
      <c r="B94" s="27"/>
      <c r="C94" s="13" t="str">
        <f t="shared" si="4"/>
        <v/>
      </c>
      <c r="D94" s="12"/>
      <c r="E94" s="21"/>
      <c r="F94" s="21"/>
      <c r="G94" s="12"/>
      <c r="H94" s="13" t="str">
        <f>IF(G94="","",IFERROR(VLOOKUP(G94,PROFESSORES!A:B,2,FALSE),""))</f>
        <v/>
      </c>
      <c r="I94" s="12"/>
      <c r="J94" s="12"/>
      <c r="K94" s="13" t="str">
        <f>IF(OR(G94="",C94="",E94="",F94="",I94=""),"",IF(AND((COUNTIFS(DISPONIBILIDADE!A:A,G94,DISPONIBILIDADE!C:C,C94,DISPONIBILIDADE!D:D,"&lt;="&amp;E94,DISPONIBILIDADE!E:E,"&gt;="&amp;F94,DISPONIBILIDADE!F:F,I94,DISPONIBILIDADE!G:G,"Sim")+COUNTIFS(DISPONIBILIDADE!A:A,G94,DISPONIBILIDADE!C:C,C94,DISPONIBILIDADE!D:D,"&lt;="&amp;E94,DISPONIBILIDADE!E:E,"&gt;="&amp;F94,DISPONIBILIDADE!F:F,"Ambas",DISPONIBILIDADE!G:G,"Sim"))&gt;0,COUNTIFS($G$3:$G$502,G94,$B$3:$B$502,B94,$E$3:$E$502,"&lt;"&amp;F94,$F$3:$F$502,"&gt;"&amp;E94,$A$3:$A$502,"&lt;&gt;"&amp;A94)=0),"Sim","Não"))</f>
        <v/>
      </c>
      <c r="L94" s="13" t="str">
        <f>IF(OR(G94="",D94=""),"",IF(COUNTIFS('RESTRIÇÕES'!A:A,G94,'RESTRIÇÕES'!C:C,D94,'RESTRIÇÕES'!F:F,"Sim")&gt;0,"Com restrição","Sem restrição"))</f>
        <v/>
      </c>
      <c r="M94" s="13" t="str">
        <f t="shared" si="2"/>
        <v/>
      </c>
    </row>
    <row r="95" ht="15.75" customHeight="1">
      <c r="A95" s="11" t="str">
        <f t="shared" si="3"/>
        <v/>
      </c>
      <c r="B95" s="28"/>
      <c r="C95" s="11" t="str">
        <f t="shared" si="4"/>
        <v/>
      </c>
      <c r="D95" s="10"/>
      <c r="E95" s="19"/>
      <c r="F95" s="19"/>
      <c r="G95" s="10"/>
      <c r="H95" s="11" t="str">
        <f>IF(G95="","",IFERROR(VLOOKUP(G95,PROFESSORES!A:B,2,FALSE),""))</f>
        <v/>
      </c>
      <c r="I95" s="10"/>
      <c r="J95" s="10"/>
      <c r="K95" s="11" t="str">
        <f>IF(OR(G95="",C95="",E95="",F95="",I95=""),"",IF(AND((COUNTIFS(DISPONIBILIDADE!A:A,G95,DISPONIBILIDADE!C:C,C95,DISPONIBILIDADE!D:D,"&lt;="&amp;E95,DISPONIBILIDADE!E:E,"&gt;="&amp;F95,DISPONIBILIDADE!F:F,I95,DISPONIBILIDADE!G:G,"Sim")+COUNTIFS(DISPONIBILIDADE!A:A,G95,DISPONIBILIDADE!C:C,C95,DISPONIBILIDADE!D:D,"&lt;="&amp;E95,DISPONIBILIDADE!E:E,"&gt;="&amp;F95,DISPONIBILIDADE!F:F,"Ambas",DISPONIBILIDADE!G:G,"Sim"))&gt;0,COUNTIFS($G$3:$G$502,G95,$B$3:$B$502,B95,$E$3:$E$502,"&lt;"&amp;F95,$F$3:$F$502,"&gt;"&amp;E95,$A$3:$A$502,"&lt;&gt;"&amp;A95)=0),"Sim","Não"))</f>
        <v/>
      </c>
      <c r="L95" s="11" t="str">
        <f>IF(OR(G95="",D95=""),"",IF(COUNTIFS('RESTRIÇÕES'!A:A,G95,'RESTRIÇÕES'!C:C,D95,'RESTRIÇÕES'!F:F,"Sim")&gt;0,"Com restrição","Sem restrição"))</f>
        <v/>
      </c>
      <c r="M95" s="11" t="str">
        <f t="shared" si="2"/>
        <v/>
      </c>
    </row>
    <row r="96" ht="15.75" customHeight="1">
      <c r="A96" s="13" t="str">
        <f t="shared" si="3"/>
        <v/>
      </c>
      <c r="B96" s="27"/>
      <c r="C96" s="13" t="str">
        <f t="shared" si="4"/>
        <v/>
      </c>
      <c r="D96" s="12"/>
      <c r="E96" s="21"/>
      <c r="F96" s="21"/>
      <c r="G96" s="12"/>
      <c r="H96" s="13" t="str">
        <f>IF(G96="","",IFERROR(VLOOKUP(G96,PROFESSORES!A:B,2,FALSE),""))</f>
        <v/>
      </c>
      <c r="I96" s="12"/>
      <c r="J96" s="12"/>
      <c r="K96" s="13" t="str">
        <f>IF(OR(G96="",C96="",E96="",F96="",I96=""),"",IF(AND((COUNTIFS(DISPONIBILIDADE!A:A,G96,DISPONIBILIDADE!C:C,C96,DISPONIBILIDADE!D:D,"&lt;="&amp;E96,DISPONIBILIDADE!E:E,"&gt;="&amp;F96,DISPONIBILIDADE!F:F,I96,DISPONIBILIDADE!G:G,"Sim")+COUNTIFS(DISPONIBILIDADE!A:A,G96,DISPONIBILIDADE!C:C,C96,DISPONIBILIDADE!D:D,"&lt;="&amp;E96,DISPONIBILIDADE!E:E,"&gt;="&amp;F96,DISPONIBILIDADE!F:F,"Ambas",DISPONIBILIDADE!G:G,"Sim"))&gt;0,COUNTIFS($G$3:$G$502,G96,$B$3:$B$502,B96,$E$3:$E$502,"&lt;"&amp;F96,$F$3:$F$502,"&gt;"&amp;E96,$A$3:$A$502,"&lt;&gt;"&amp;A96)=0),"Sim","Não"))</f>
        <v/>
      </c>
      <c r="L96" s="13" t="str">
        <f>IF(OR(G96="",D96=""),"",IF(COUNTIFS('RESTRIÇÕES'!A:A,G96,'RESTRIÇÕES'!C:C,D96,'RESTRIÇÕES'!F:F,"Sim")&gt;0,"Com restrição","Sem restrição"))</f>
        <v/>
      </c>
      <c r="M96" s="13" t="str">
        <f t="shared" si="2"/>
        <v/>
      </c>
    </row>
    <row r="97" ht="15.75" customHeight="1">
      <c r="A97" s="11" t="str">
        <f t="shared" si="3"/>
        <v/>
      </c>
      <c r="B97" s="28"/>
      <c r="C97" s="11" t="str">
        <f t="shared" si="4"/>
        <v/>
      </c>
      <c r="D97" s="10"/>
      <c r="E97" s="19"/>
      <c r="F97" s="19"/>
      <c r="G97" s="10"/>
      <c r="H97" s="11" t="str">
        <f>IF(G97="","",IFERROR(VLOOKUP(G97,PROFESSORES!A:B,2,FALSE),""))</f>
        <v/>
      </c>
      <c r="I97" s="10"/>
      <c r="J97" s="10"/>
      <c r="K97" s="11" t="str">
        <f>IF(OR(G97="",C97="",E97="",F97="",I97=""),"",IF(AND((COUNTIFS(DISPONIBILIDADE!A:A,G97,DISPONIBILIDADE!C:C,C97,DISPONIBILIDADE!D:D,"&lt;="&amp;E97,DISPONIBILIDADE!E:E,"&gt;="&amp;F97,DISPONIBILIDADE!F:F,I97,DISPONIBILIDADE!G:G,"Sim")+COUNTIFS(DISPONIBILIDADE!A:A,G97,DISPONIBILIDADE!C:C,C97,DISPONIBILIDADE!D:D,"&lt;="&amp;E97,DISPONIBILIDADE!E:E,"&gt;="&amp;F97,DISPONIBILIDADE!F:F,"Ambas",DISPONIBILIDADE!G:G,"Sim"))&gt;0,COUNTIFS($G$3:$G$502,G97,$B$3:$B$502,B97,$E$3:$E$502,"&lt;"&amp;F97,$F$3:$F$502,"&gt;"&amp;E97,$A$3:$A$502,"&lt;&gt;"&amp;A97)=0),"Sim","Não"))</f>
        <v/>
      </c>
      <c r="L97" s="11" t="str">
        <f>IF(OR(G97="",D97=""),"",IF(COUNTIFS('RESTRIÇÕES'!A:A,G97,'RESTRIÇÕES'!C:C,D97,'RESTRIÇÕES'!F:F,"Sim")&gt;0,"Com restrição","Sem restrição"))</f>
        <v/>
      </c>
      <c r="M97" s="11" t="str">
        <f t="shared" si="2"/>
        <v/>
      </c>
    </row>
    <row r="98" ht="15.75" customHeight="1">
      <c r="A98" s="13" t="str">
        <f t="shared" si="3"/>
        <v/>
      </c>
      <c r="B98" s="27"/>
      <c r="C98" s="13" t="str">
        <f t="shared" si="4"/>
        <v/>
      </c>
      <c r="D98" s="12"/>
      <c r="E98" s="21"/>
      <c r="F98" s="21"/>
      <c r="G98" s="12"/>
      <c r="H98" s="13" t="str">
        <f>IF(G98="","",IFERROR(VLOOKUP(G98,PROFESSORES!A:B,2,FALSE),""))</f>
        <v/>
      </c>
      <c r="I98" s="12"/>
      <c r="J98" s="12"/>
      <c r="K98" s="13" t="str">
        <f>IF(OR(G98="",C98="",E98="",F98="",I98=""),"",IF(AND((COUNTIFS(DISPONIBILIDADE!A:A,G98,DISPONIBILIDADE!C:C,C98,DISPONIBILIDADE!D:D,"&lt;="&amp;E98,DISPONIBILIDADE!E:E,"&gt;="&amp;F98,DISPONIBILIDADE!F:F,I98,DISPONIBILIDADE!G:G,"Sim")+COUNTIFS(DISPONIBILIDADE!A:A,G98,DISPONIBILIDADE!C:C,C98,DISPONIBILIDADE!D:D,"&lt;="&amp;E98,DISPONIBILIDADE!E:E,"&gt;="&amp;F98,DISPONIBILIDADE!F:F,"Ambas",DISPONIBILIDADE!G:G,"Sim"))&gt;0,COUNTIFS($G$3:$G$502,G98,$B$3:$B$502,B98,$E$3:$E$502,"&lt;"&amp;F98,$F$3:$F$502,"&gt;"&amp;E98,$A$3:$A$502,"&lt;&gt;"&amp;A98)=0),"Sim","Não"))</f>
        <v/>
      </c>
      <c r="L98" s="13" t="str">
        <f>IF(OR(G98="",D98=""),"",IF(COUNTIFS('RESTRIÇÕES'!A:A,G98,'RESTRIÇÕES'!C:C,D98,'RESTRIÇÕES'!F:F,"Sim")&gt;0,"Com restrição","Sem restrição"))</f>
        <v/>
      </c>
      <c r="M98" s="13" t="str">
        <f t="shared" si="2"/>
        <v/>
      </c>
    </row>
    <row r="99" ht="15.75" customHeight="1">
      <c r="A99" s="11" t="str">
        <f t="shared" si="3"/>
        <v/>
      </c>
      <c r="B99" s="28"/>
      <c r="C99" s="11" t="str">
        <f t="shared" si="4"/>
        <v/>
      </c>
      <c r="D99" s="10"/>
      <c r="E99" s="19"/>
      <c r="F99" s="19"/>
      <c r="G99" s="10"/>
      <c r="H99" s="11" t="str">
        <f>IF(G99="","",IFERROR(VLOOKUP(G99,PROFESSORES!A:B,2,FALSE),""))</f>
        <v/>
      </c>
      <c r="I99" s="10"/>
      <c r="J99" s="10"/>
      <c r="K99" s="11" t="str">
        <f>IF(OR(G99="",C99="",E99="",F99="",I99=""),"",IF(AND((COUNTIFS(DISPONIBILIDADE!A:A,G99,DISPONIBILIDADE!C:C,C99,DISPONIBILIDADE!D:D,"&lt;="&amp;E99,DISPONIBILIDADE!E:E,"&gt;="&amp;F99,DISPONIBILIDADE!F:F,I99,DISPONIBILIDADE!G:G,"Sim")+COUNTIFS(DISPONIBILIDADE!A:A,G99,DISPONIBILIDADE!C:C,C99,DISPONIBILIDADE!D:D,"&lt;="&amp;E99,DISPONIBILIDADE!E:E,"&gt;="&amp;F99,DISPONIBILIDADE!F:F,"Ambas",DISPONIBILIDADE!G:G,"Sim"))&gt;0,COUNTIFS($G$3:$G$502,G99,$B$3:$B$502,B99,$E$3:$E$502,"&lt;"&amp;F99,$F$3:$F$502,"&gt;"&amp;E99,$A$3:$A$502,"&lt;&gt;"&amp;A99)=0),"Sim","Não"))</f>
        <v/>
      </c>
      <c r="L99" s="11" t="str">
        <f>IF(OR(G99="",D99=""),"",IF(COUNTIFS('RESTRIÇÕES'!A:A,G99,'RESTRIÇÕES'!C:C,D99,'RESTRIÇÕES'!F:F,"Sim")&gt;0,"Com restrição","Sem restrição"))</f>
        <v/>
      </c>
      <c r="M99" s="11" t="str">
        <f t="shared" si="2"/>
        <v/>
      </c>
    </row>
    <row r="100" ht="15.75" customHeight="1">
      <c r="A100" s="13" t="str">
        <f t="shared" si="3"/>
        <v/>
      </c>
      <c r="B100" s="27"/>
      <c r="C100" s="13" t="str">
        <f t="shared" si="4"/>
        <v/>
      </c>
      <c r="D100" s="12"/>
      <c r="E100" s="21"/>
      <c r="F100" s="21"/>
      <c r="G100" s="12"/>
      <c r="H100" s="13" t="str">
        <f>IF(G100="","",IFERROR(VLOOKUP(G100,PROFESSORES!A:B,2,FALSE),""))</f>
        <v/>
      </c>
      <c r="I100" s="12"/>
      <c r="J100" s="12"/>
      <c r="K100" s="13" t="str">
        <f>IF(OR(G100="",C100="",E100="",F100="",I100=""),"",IF(AND((COUNTIFS(DISPONIBILIDADE!A:A,G100,DISPONIBILIDADE!C:C,C100,DISPONIBILIDADE!D:D,"&lt;="&amp;E100,DISPONIBILIDADE!E:E,"&gt;="&amp;F100,DISPONIBILIDADE!F:F,I100,DISPONIBILIDADE!G:G,"Sim")+COUNTIFS(DISPONIBILIDADE!A:A,G100,DISPONIBILIDADE!C:C,C100,DISPONIBILIDADE!D:D,"&lt;="&amp;E100,DISPONIBILIDADE!E:E,"&gt;="&amp;F100,DISPONIBILIDADE!F:F,"Ambas",DISPONIBILIDADE!G:G,"Sim"))&gt;0,COUNTIFS($G$3:$G$502,G100,$B$3:$B$502,B100,$E$3:$E$502,"&lt;"&amp;F100,$F$3:$F$502,"&gt;"&amp;E100,$A$3:$A$502,"&lt;&gt;"&amp;A100)=0),"Sim","Não"))</f>
        <v/>
      </c>
      <c r="L100" s="13" t="str">
        <f>IF(OR(G100="",D100=""),"",IF(COUNTIFS('RESTRIÇÕES'!A:A,G100,'RESTRIÇÕES'!C:C,D100,'RESTRIÇÕES'!F:F,"Sim")&gt;0,"Com restrição","Sem restrição"))</f>
        <v/>
      </c>
      <c r="M100" s="13" t="str">
        <f t="shared" si="2"/>
        <v/>
      </c>
    </row>
    <row r="101" ht="15.75" customHeight="1">
      <c r="A101" s="11" t="str">
        <f t="shared" si="3"/>
        <v/>
      </c>
      <c r="B101" s="28"/>
      <c r="C101" s="11" t="str">
        <f t="shared" si="4"/>
        <v/>
      </c>
      <c r="D101" s="10"/>
      <c r="E101" s="19"/>
      <c r="F101" s="19"/>
      <c r="G101" s="10"/>
      <c r="H101" s="11" t="str">
        <f>IF(G101="","",IFERROR(VLOOKUP(G101,PROFESSORES!A:B,2,FALSE),""))</f>
        <v/>
      </c>
      <c r="I101" s="10"/>
      <c r="J101" s="10"/>
      <c r="K101" s="11" t="str">
        <f>IF(OR(G101="",C101="",E101="",F101="",I101=""),"",IF(AND((COUNTIFS(DISPONIBILIDADE!A:A,G101,DISPONIBILIDADE!C:C,C101,DISPONIBILIDADE!D:D,"&lt;="&amp;E101,DISPONIBILIDADE!E:E,"&gt;="&amp;F101,DISPONIBILIDADE!F:F,I101,DISPONIBILIDADE!G:G,"Sim")+COUNTIFS(DISPONIBILIDADE!A:A,G101,DISPONIBILIDADE!C:C,C101,DISPONIBILIDADE!D:D,"&lt;="&amp;E101,DISPONIBILIDADE!E:E,"&gt;="&amp;F101,DISPONIBILIDADE!F:F,"Ambas",DISPONIBILIDADE!G:G,"Sim"))&gt;0,COUNTIFS($G$3:$G$502,G101,$B$3:$B$502,B101,$E$3:$E$502,"&lt;"&amp;F101,$F$3:$F$502,"&gt;"&amp;E101,$A$3:$A$502,"&lt;&gt;"&amp;A101)=0),"Sim","Não"))</f>
        <v/>
      </c>
      <c r="L101" s="11" t="str">
        <f>IF(OR(G101="",D101=""),"",IF(COUNTIFS('RESTRIÇÕES'!A:A,G101,'RESTRIÇÕES'!C:C,D101,'RESTRIÇÕES'!F:F,"Sim")&gt;0,"Com restrição","Sem restrição"))</f>
        <v/>
      </c>
      <c r="M101" s="11" t="str">
        <f t="shared" si="2"/>
        <v/>
      </c>
    </row>
    <row r="102" ht="15.75" customHeight="1">
      <c r="A102" s="13" t="str">
        <f t="shared" si="3"/>
        <v/>
      </c>
      <c r="B102" s="27"/>
      <c r="C102" s="13" t="str">
        <f t="shared" si="4"/>
        <v/>
      </c>
      <c r="D102" s="12"/>
      <c r="E102" s="21"/>
      <c r="F102" s="21"/>
      <c r="G102" s="12"/>
      <c r="H102" s="13" t="str">
        <f>IF(G102="","",IFERROR(VLOOKUP(G102,PROFESSORES!A:B,2,FALSE),""))</f>
        <v/>
      </c>
      <c r="I102" s="12"/>
      <c r="J102" s="12"/>
      <c r="K102" s="13" t="str">
        <f>IF(OR(G102="",C102="",E102="",F102="",I102=""),"",IF(AND((COUNTIFS(DISPONIBILIDADE!A:A,G102,DISPONIBILIDADE!C:C,C102,DISPONIBILIDADE!D:D,"&lt;="&amp;E102,DISPONIBILIDADE!E:E,"&gt;="&amp;F102,DISPONIBILIDADE!F:F,I102,DISPONIBILIDADE!G:G,"Sim")+COUNTIFS(DISPONIBILIDADE!A:A,G102,DISPONIBILIDADE!C:C,C102,DISPONIBILIDADE!D:D,"&lt;="&amp;E102,DISPONIBILIDADE!E:E,"&gt;="&amp;F102,DISPONIBILIDADE!F:F,"Ambas",DISPONIBILIDADE!G:G,"Sim"))&gt;0,COUNTIFS($G$3:$G$502,G102,$B$3:$B$502,B102,$E$3:$E$502,"&lt;"&amp;F102,$F$3:$F$502,"&gt;"&amp;E102,$A$3:$A$502,"&lt;&gt;"&amp;A102)=0),"Sim","Não"))</f>
        <v/>
      </c>
      <c r="L102" s="13" t="str">
        <f>IF(OR(G102="",D102=""),"",IF(COUNTIFS('RESTRIÇÕES'!A:A,G102,'RESTRIÇÕES'!C:C,D102,'RESTRIÇÕES'!F:F,"Sim")&gt;0,"Com restrição","Sem restrição"))</f>
        <v/>
      </c>
      <c r="M102" s="13" t="str">
        <f t="shared" si="2"/>
        <v/>
      </c>
    </row>
    <row r="103" ht="15.75" customHeight="1">
      <c r="A103" s="11" t="str">
        <f t="shared" si="3"/>
        <v/>
      </c>
      <c r="B103" s="28"/>
      <c r="C103" s="11" t="str">
        <f t="shared" si="4"/>
        <v/>
      </c>
      <c r="D103" s="10"/>
      <c r="E103" s="19"/>
      <c r="F103" s="19"/>
      <c r="G103" s="10"/>
      <c r="H103" s="11" t="str">
        <f>IF(G103="","",IFERROR(VLOOKUP(G103,PROFESSORES!A:B,2,FALSE),""))</f>
        <v/>
      </c>
      <c r="I103" s="10"/>
      <c r="J103" s="10"/>
      <c r="K103" s="11" t="str">
        <f>IF(OR(G103="",C103="",E103="",F103="",I103=""),"",IF(AND((COUNTIFS(DISPONIBILIDADE!A:A,G103,DISPONIBILIDADE!C:C,C103,DISPONIBILIDADE!D:D,"&lt;="&amp;E103,DISPONIBILIDADE!E:E,"&gt;="&amp;F103,DISPONIBILIDADE!F:F,I103,DISPONIBILIDADE!G:G,"Sim")+COUNTIFS(DISPONIBILIDADE!A:A,G103,DISPONIBILIDADE!C:C,C103,DISPONIBILIDADE!D:D,"&lt;="&amp;E103,DISPONIBILIDADE!E:E,"&gt;="&amp;F103,DISPONIBILIDADE!F:F,"Ambas",DISPONIBILIDADE!G:G,"Sim"))&gt;0,COUNTIFS($G$3:$G$502,G103,$B$3:$B$502,B103,$E$3:$E$502,"&lt;"&amp;F103,$F$3:$F$502,"&gt;"&amp;E103,$A$3:$A$502,"&lt;&gt;"&amp;A103)=0),"Sim","Não"))</f>
        <v/>
      </c>
      <c r="L103" s="11" t="str">
        <f>IF(OR(G103="",D103=""),"",IF(COUNTIFS('RESTRIÇÕES'!A:A,G103,'RESTRIÇÕES'!C:C,D103,'RESTRIÇÕES'!F:F,"Sim")&gt;0,"Com restrição","Sem restrição"))</f>
        <v/>
      </c>
      <c r="M103" s="11" t="str">
        <f t="shared" si="2"/>
        <v/>
      </c>
    </row>
    <row r="104" ht="15.75" customHeight="1">
      <c r="A104" s="13" t="str">
        <f t="shared" si="3"/>
        <v/>
      </c>
      <c r="B104" s="27"/>
      <c r="C104" s="13" t="str">
        <f t="shared" si="4"/>
        <v/>
      </c>
      <c r="D104" s="12"/>
      <c r="E104" s="21"/>
      <c r="F104" s="21"/>
      <c r="G104" s="12"/>
      <c r="H104" s="13" t="str">
        <f>IF(G104="","",IFERROR(VLOOKUP(G104,PROFESSORES!A:B,2,FALSE),""))</f>
        <v/>
      </c>
      <c r="I104" s="12"/>
      <c r="J104" s="12"/>
      <c r="K104" s="13" t="str">
        <f>IF(OR(G104="",C104="",E104="",F104="",I104=""),"",IF(AND((COUNTIFS(DISPONIBILIDADE!A:A,G104,DISPONIBILIDADE!C:C,C104,DISPONIBILIDADE!D:D,"&lt;="&amp;E104,DISPONIBILIDADE!E:E,"&gt;="&amp;F104,DISPONIBILIDADE!F:F,I104,DISPONIBILIDADE!G:G,"Sim")+COUNTIFS(DISPONIBILIDADE!A:A,G104,DISPONIBILIDADE!C:C,C104,DISPONIBILIDADE!D:D,"&lt;="&amp;E104,DISPONIBILIDADE!E:E,"&gt;="&amp;F104,DISPONIBILIDADE!F:F,"Ambas",DISPONIBILIDADE!G:G,"Sim"))&gt;0,COUNTIFS($G$3:$G$502,G104,$B$3:$B$502,B104,$E$3:$E$502,"&lt;"&amp;F104,$F$3:$F$502,"&gt;"&amp;E104,$A$3:$A$502,"&lt;&gt;"&amp;A104)=0),"Sim","Não"))</f>
        <v/>
      </c>
      <c r="L104" s="13" t="str">
        <f>IF(OR(G104="",D104=""),"",IF(COUNTIFS('RESTRIÇÕES'!A:A,G104,'RESTRIÇÕES'!C:C,D104,'RESTRIÇÕES'!F:F,"Sim")&gt;0,"Com restrição","Sem restrição"))</f>
        <v/>
      </c>
      <c r="M104" s="13" t="str">
        <f t="shared" si="2"/>
        <v/>
      </c>
    </row>
    <row r="105" ht="15.75" customHeight="1">
      <c r="A105" s="11" t="str">
        <f t="shared" si="3"/>
        <v/>
      </c>
      <c r="B105" s="28"/>
      <c r="C105" s="11" t="str">
        <f t="shared" si="4"/>
        <v/>
      </c>
      <c r="D105" s="10"/>
      <c r="E105" s="19"/>
      <c r="F105" s="19"/>
      <c r="G105" s="10"/>
      <c r="H105" s="11" t="str">
        <f>IF(G105="","",IFERROR(VLOOKUP(G105,PROFESSORES!A:B,2,FALSE),""))</f>
        <v/>
      </c>
      <c r="I105" s="10"/>
      <c r="J105" s="10"/>
      <c r="K105" s="11" t="str">
        <f>IF(OR(G105="",C105="",E105="",F105="",I105=""),"",IF(AND((COUNTIFS(DISPONIBILIDADE!A:A,G105,DISPONIBILIDADE!C:C,C105,DISPONIBILIDADE!D:D,"&lt;="&amp;E105,DISPONIBILIDADE!E:E,"&gt;="&amp;F105,DISPONIBILIDADE!F:F,I105,DISPONIBILIDADE!G:G,"Sim")+COUNTIFS(DISPONIBILIDADE!A:A,G105,DISPONIBILIDADE!C:C,C105,DISPONIBILIDADE!D:D,"&lt;="&amp;E105,DISPONIBILIDADE!E:E,"&gt;="&amp;F105,DISPONIBILIDADE!F:F,"Ambas",DISPONIBILIDADE!G:G,"Sim"))&gt;0,COUNTIFS($G$3:$G$502,G105,$B$3:$B$502,B105,$E$3:$E$502,"&lt;"&amp;F105,$F$3:$F$502,"&gt;"&amp;E105,$A$3:$A$502,"&lt;&gt;"&amp;A105)=0),"Sim","Não"))</f>
        <v/>
      </c>
      <c r="L105" s="11" t="str">
        <f>IF(OR(G105="",D105=""),"",IF(COUNTIFS('RESTRIÇÕES'!A:A,G105,'RESTRIÇÕES'!C:C,D105,'RESTRIÇÕES'!F:F,"Sim")&gt;0,"Com restrição","Sem restrição"))</f>
        <v/>
      </c>
      <c r="M105" s="11" t="str">
        <f t="shared" si="2"/>
        <v/>
      </c>
    </row>
    <row r="106" ht="15.75" customHeight="1">
      <c r="A106" s="13" t="str">
        <f t="shared" si="3"/>
        <v/>
      </c>
      <c r="B106" s="27"/>
      <c r="C106" s="13" t="str">
        <f t="shared" si="4"/>
        <v/>
      </c>
      <c r="D106" s="12"/>
      <c r="E106" s="21"/>
      <c r="F106" s="21"/>
      <c r="G106" s="12"/>
      <c r="H106" s="13" t="str">
        <f>IF(G106="","",IFERROR(VLOOKUP(G106,PROFESSORES!A:B,2,FALSE),""))</f>
        <v/>
      </c>
      <c r="I106" s="12"/>
      <c r="J106" s="12"/>
      <c r="K106" s="13" t="str">
        <f>IF(OR(G106="",C106="",E106="",F106="",I106=""),"",IF(AND((COUNTIFS(DISPONIBILIDADE!A:A,G106,DISPONIBILIDADE!C:C,C106,DISPONIBILIDADE!D:D,"&lt;="&amp;E106,DISPONIBILIDADE!E:E,"&gt;="&amp;F106,DISPONIBILIDADE!F:F,I106,DISPONIBILIDADE!G:G,"Sim")+COUNTIFS(DISPONIBILIDADE!A:A,G106,DISPONIBILIDADE!C:C,C106,DISPONIBILIDADE!D:D,"&lt;="&amp;E106,DISPONIBILIDADE!E:E,"&gt;="&amp;F106,DISPONIBILIDADE!F:F,"Ambas",DISPONIBILIDADE!G:G,"Sim"))&gt;0,COUNTIFS($G$3:$G$502,G106,$B$3:$B$502,B106,$E$3:$E$502,"&lt;"&amp;F106,$F$3:$F$502,"&gt;"&amp;E106,$A$3:$A$502,"&lt;&gt;"&amp;A106)=0),"Sim","Não"))</f>
        <v/>
      </c>
      <c r="L106" s="13" t="str">
        <f>IF(OR(G106="",D106=""),"",IF(COUNTIFS('RESTRIÇÕES'!A:A,G106,'RESTRIÇÕES'!C:C,D106,'RESTRIÇÕES'!F:F,"Sim")&gt;0,"Com restrição","Sem restrição"))</f>
        <v/>
      </c>
      <c r="M106" s="13" t="str">
        <f t="shared" si="2"/>
        <v/>
      </c>
    </row>
    <row r="107" ht="15.75" customHeight="1">
      <c r="A107" s="11" t="str">
        <f t="shared" si="3"/>
        <v/>
      </c>
      <c r="B107" s="28"/>
      <c r="C107" s="11" t="str">
        <f t="shared" si="4"/>
        <v/>
      </c>
      <c r="D107" s="10"/>
      <c r="E107" s="19"/>
      <c r="F107" s="19"/>
      <c r="G107" s="10"/>
      <c r="H107" s="11" t="str">
        <f>IF(G107="","",IFERROR(VLOOKUP(G107,PROFESSORES!A:B,2,FALSE),""))</f>
        <v/>
      </c>
      <c r="I107" s="10"/>
      <c r="J107" s="10"/>
      <c r="K107" s="11" t="str">
        <f>IF(OR(G107="",C107="",E107="",F107="",I107=""),"",IF(AND((COUNTIFS(DISPONIBILIDADE!A:A,G107,DISPONIBILIDADE!C:C,C107,DISPONIBILIDADE!D:D,"&lt;="&amp;E107,DISPONIBILIDADE!E:E,"&gt;="&amp;F107,DISPONIBILIDADE!F:F,I107,DISPONIBILIDADE!G:G,"Sim")+COUNTIFS(DISPONIBILIDADE!A:A,G107,DISPONIBILIDADE!C:C,C107,DISPONIBILIDADE!D:D,"&lt;="&amp;E107,DISPONIBILIDADE!E:E,"&gt;="&amp;F107,DISPONIBILIDADE!F:F,"Ambas",DISPONIBILIDADE!G:G,"Sim"))&gt;0,COUNTIFS($G$3:$G$502,G107,$B$3:$B$502,B107,$E$3:$E$502,"&lt;"&amp;F107,$F$3:$F$502,"&gt;"&amp;E107,$A$3:$A$502,"&lt;&gt;"&amp;A107)=0),"Sim","Não"))</f>
        <v/>
      </c>
      <c r="L107" s="11" t="str">
        <f>IF(OR(G107="",D107=""),"",IF(COUNTIFS('RESTRIÇÕES'!A:A,G107,'RESTRIÇÕES'!C:C,D107,'RESTRIÇÕES'!F:F,"Sim")&gt;0,"Com restrição","Sem restrição"))</f>
        <v/>
      </c>
      <c r="M107" s="11" t="str">
        <f t="shared" si="2"/>
        <v/>
      </c>
    </row>
    <row r="108" ht="15.75" customHeight="1">
      <c r="A108" s="13" t="str">
        <f t="shared" si="3"/>
        <v/>
      </c>
      <c r="B108" s="27"/>
      <c r="C108" s="13" t="str">
        <f t="shared" si="4"/>
        <v/>
      </c>
      <c r="D108" s="12"/>
      <c r="E108" s="21"/>
      <c r="F108" s="21"/>
      <c r="G108" s="12"/>
      <c r="H108" s="13" t="str">
        <f>IF(G108="","",IFERROR(VLOOKUP(G108,PROFESSORES!A:B,2,FALSE),""))</f>
        <v/>
      </c>
      <c r="I108" s="12"/>
      <c r="J108" s="12"/>
      <c r="K108" s="13" t="str">
        <f>IF(OR(G108="",C108="",E108="",F108="",I108=""),"",IF(AND((COUNTIFS(DISPONIBILIDADE!A:A,G108,DISPONIBILIDADE!C:C,C108,DISPONIBILIDADE!D:D,"&lt;="&amp;E108,DISPONIBILIDADE!E:E,"&gt;="&amp;F108,DISPONIBILIDADE!F:F,I108,DISPONIBILIDADE!G:G,"Sim")+COUNTIFS(DISPONIBILIDADE!A:A,G108,DISPONIBILIDADE!C:C,C108,DISPONIBILIDADE!D:D,"&lt;="&amp;E108,DISPONIBILIDADE!E:E,"&gt;="&amp;F108,DISPONIBILIDADE!F:F,"Ambas",DISPONIBILIDADE!G:G,"Sim"))&gt;0,COUNTIFS($G$3:$G$502,G108,$B$3:$B$502,B108,$E$3:$E$502,"&lt;"&amp;F108,$F$3:$F$502,"&gt;"&amp;E108,$A$3:$A$502,"&lt;&gt;"&amp;A108)=0),"Sim","Não"))</f>
        <v/>
      </c>
      <c r="L108" s="13" t="str">
        <f>IF(OR(G108="",D108=""),"",IF(COUNTIFS('RESTRIÇÕES'!A:A,G108,'RESTRIÇÕES'!C:C,D108,'RESTRIÇÕES'!F:F,"Sim")&gt;0,"Com restrição","Sem restrição"))</f>
        <v/>
      </c>
      <c r="M108" s="13" t="str">
        <f t="shared" si="2"/>
        <v/>
      </c>
    </row>
    <row r="109" ht="15.75" customHeight="1">
      <c r="A109" s="11" t="str">
        <f t="shared" si="3"/>
        <v/>
      </c>
      <c r="B109" s="28"/>
      <c r="C109" s="11" t="str">
        <f t="shared" si="4"/>
        <v/>
      </c>
      <c r="D109" s="10"/>
      <c r="E109" s="19"/>
      <c r="F109" s="19"/>
      <c r="G109" s="10"/>
      <c r="H109" s="11" t="str">
        <f>IF(G109="","",IFERROR(VLOOKUP(G109,PROFESSORES!A:B,2,FALSE),""))</f>
        <v/>
      </c>
      <c r="I109" s="10"/>
      <c r="J109" s="10"/>
      <c r="K109" s="11" t="str">
        <f>IF(OR(G109="",C109="",E109="",F109="",I109=""),"",IF(AND((COUNTIFS(DISPONIBILIDADE!A:A,G109,DISPONIBILIDADE!C:C,C109,DISPONIBILIDADE!D:D,"&lt;="&amp;E109,DISPONIBILIDADE!E:E,"&gt;="&amp;F109,DISPONIBILIDADE!F:F,I109,DISPONIBILIDADE!G:G,"Sim")+COUNTIFS(DISPONIBILIDADE!A:A,G109,DISPONIBILIDADE!C:C,C109,DISPONIBILIDADE!D:D,"&lt;="&amp;E109,DISPONIBILIDADE!E:E,"&gt;="&amp;F109,DISPONIBILIDADE!F:F,"Ambas",DISPONIBILIDADE!G:G,"Sim"))&gt;0,COUNTIFS($G$3:$G$502,G109,$B$3:$B$502,B109,$E$3:$E$502,"&lt;"&amp;F109,$F$3:$F$502,"&gt;"&amp;E109,$A$3:$A$502,"&lt;&gt;"&amp;A109)=0),"Sim","Não"))</f>
        <v/>
      </c>
      <c r="L109" s="11" t="str">
        <f>IF(OR(G109="",D109=""),"",IF(COUNTIFS('RESTRIÇÕES'!A:A,G109,'RESTRIÇÕES'!C:C,D109,'RESTRIÇÕES'!F:F,"Sim")&gt;0,"Com restrição","Sem restrição"))</f>
        <v/>
      </c>
      <c r="M109" s="11" t="str">
        <f t="shared" si="2"/>
        <v/>
      </c>
    </row>
    <row r="110" ht="15.75" customHeight="1">
      <c r="A110" s="13" t="str">
        <f t="shared" si="3"/>
        <v/>
      </c>
      <c r="B110" s="27"/>
      <c r="C110" s="13" t="str">
        <f t="shared" si="4"/>
        <v/>
      </c>
      <c r="D110" s="12"/>
      <c r="E110" s="21"/>
      <c r="F110" s="21"/>
      <c r="G110" s="12"/>
      <c r="H110" s="13" t="str">
        <f>IF(G110="","",IFERROR(VLOOKUP(G110,PROFESSORES!A:B,2,FALSE),""))</f>
        <v/>
      </c>
      <c r="I110" s="12"/>
      <c r="J110" s="12"/>
      <c r="K110" s="13" t="str">
        <f>IF(OR(G110="",C110="",E110="",F110="",I110=""),"",IF(AND((COUNTIFS(DISPONIBILIDADE!A:A,G110,DISPONIBILIDADE!C:C,C110,DISPONIBILIDADE!D:D,"&lt;="&amp;E110,DISPONIBILIDADE!E:E,"&gt;="&amp;F110,DISPONIBILIDADE!F:F,I110,DISPONIBILIDADE!G:G,"Sim")+COUNTIFS(DISPONIBILIDADE!A:A,G110,DISPONIBILIDADE!C:C,C110,DISPONIBILIDADE!D:D,"&lt;="&amp;E110,DISPONIBILIDADE!E:E,"&gt;="&amp;F110,DISPONIBILIDADE!F:F,"Ambas",DISPONIBILIDADE!G:G,"Sim"))&gt;0,COUNTIFS($G$3:$G$502,G110,$B$3:$B$502,B110,$E$3:$E$502,"&lt;"&amp;F110,$F$3:$F$502,"&gt;"&amp;E110,$A$3:$A$502,"&lt;&gt;"&amp;A110)=0),"Sim","Não"))</f>
        <v/>
      </c>
      <c r="L110" s="13" t="str">
        <f>IF(OR(G110="",D110=""),"",IF(COUNTIFS('RESTRIÇÕES'!A:A,G110,'RESTRIÇÕES'!C:C,D110,'RESTRIÇÕES'!F:F,"Sim")&gt;0,"Com restrição","Sem restrição"))</f>
        <v/>
      </c>
      <c r="M110" s="13" t="str">
        <f t="shared" si="2"/>
        <v/>
      </c>
    </row>
    <row r="111" ht="15.75" customHeight="1">
      <c r="A111" s="11" t="str">
        <f t="shared" si="3"/>
        <v/>
      </c>
      <c r="B111" s="28"/>
      <c r="C111" s="11" t="str">
        <f t="shared" si="4"/>
        <v/>
      </c>
      <c r="D111" s="10"/>
      <c r="E111" s="19"/>
      <c r="F111" s="19"/>
      <c r="G111" s="10"/>
      <c r="H111" s="11" t="str">
        <f>IF(G111="","",IFERROR(VLOOKUP(G111,PROFESSORES!A:B,2,FALSE),""))</f>
        <v/>
      </c>
      <c r="I111" s="10"/>
      <c r="J111" s="10"/>
      <c r="K111" s="11" t="str">
        <f>IF(OR(G111="",C111="",E111="",F111="",I111=""),"",IF(AND((COUNTIFS(DISPONIBILIDADE!A:A,G111,DISPONIBILIDADE!C:C,C111,DISPONIBILIDADE!D:D,"&lt;="&amp;E111,DISPONIBILIDADE!E:E,"&gt;="&amp;F111,DISPONIBILIDADE!F:F,I111,DISPONIBILIDADE!G:G,"Sim")+COUNTIFS(DISPONIBILIDADE!A:A,G111,DISPONIBILIDADE!C:C,C111,DISPONIBILIDADE!D:D,"&lt;="&amp;E111,DISPONIBILIDADE!E:E,"&gt;="&amp;F111,DISPONIBILIDADE!F:F,"Ambas",DISPONIBILIDADE!G:G,"Sim"))&gt;0,COUNTIFS($G$3:$G$502,G111,$B$3:$B$502,B111,$E$3:$E$502,"&lt;"&amp;F111,$F$3:$F$502,"&gt;"&amp;E111,$A$3:$A$502,"&lt;&gt;"&amp;A111)=0),"Sim","Não"))</f>
        <v/>
      </c>
      <c r="L111" s="11" t="str">
        <f>IF(OR(G111="",D111=""),"",IF(COUNTIFS('RESTRIÇÕES'!A:A,G111,'RESTRIÇÕES'!C:C,D111,'RESTRIÇÕES'!F:F,"Sim")&gt;0,"Com restrição","Sem restrição"))</f>
        <v/>
      </c>
      <c r="M111" s="11" t="str">
        <f t="shared" si="2"/>
        <v/>
      </c>
    </row>
    <row r="112" ht="15.75" customHeight="1">
      <c r="A112" s="13" t="str">
        <f t="shared" si="3"/>
        <v/>
      </c>
      <c r="B112" s="27"/>
      <c r="C112" s="13" t="str">
        <f t="shared" si="4"/>
        <v/>
      </c>
      <c r="D112" s="12"/>
      <c r="E112" s="21"/>
      <c r="F112" s="21"/>
      <c r="G112" s="12"/>
      <c r="H112" s="13" t="str">
        <f>IF(G112="","",IFERROR(VLOOKUP(G112,PROFESSORES!A:B,2,FALSE),""))</f>
        <v/>
      </c>
      <c r="I112" s="12"/>
      <c r="J112" s="12"/>
      <c r="K112" s="13" t="str">
        <f>IF(OR(G112="",C112="",E112="",F112="",I112=""),"",IF(AND((COUNTIFS(DISPONIBILIDADE!A:A,G112,DISPONIBILIDADE!C:C,C112,DISPONIBILIDADE!D:D,"&lt;="&amp;E112,DISPONIBILIDADE!E:E,"&gt;="&amp;F112,DISPONIBILIDADE!F:F,I112,DISPONIBILIDADE!G:G,"Sim")+COUNTIFS(DISPONIBILIDADE!A:A,G112,DISPONIBILIDADE!C:C,C112,DISPONIBILIDADE!D:D,"&lt;="&amp;E112,DISPONIBILIDADE!E:E,"&gt;="&amp;F112,DISPONIBILIDADE!F:F,"Ambas",DISPONIBILIDADE!G:G,"Sim"))&gt;0,COUNTIFS($G$3:$G$502,G112,$B$3:$B$502,B112,$E$3:$E$502,"&lt;"&amp;F112,$F$3:$F$502,"&gt;"&amp;E112,$A$3:$A$502,"&lt;&gt;"&amp;A112)=0),"Sim","Não"))</f>
        <v/>
      </c>
      <c r="L112" s="13" t="str">
        <f>IF(OR(G112="",D112=""),"",IF(COUNTIFS('RESTRIÇÕES'!A:A,G112,'RESTRIÇÕES'!C:C,D112,'RESTRIÇÕES'!F:F,"Sim")&gt;0,"Com restrição","Sem restrição"))</f>
        <v/>
      </c>
      <c r="M112" s="13" t="str">
        <f t="shared" si="2"/>
        <v/>
      </c>
    </row>
    <row r="113" ht="15.75" customHeight="1">
      <c r="A113" s="11" t="str">
        <f t="shared" si="3"/>
        <v/>
      </c>
      <c r="B113" s="28"/>
      <c r="C113" s="11" t="str">
        <f t="shared" si="4"/>
        <v/>
      </c>
      <c r="D113" s="10"/>
      <c r="E113" s="19"/>
      <c r="F113" s="19"/>
      <c r="G113" s="10"/>
      <c r="H113" s="11" t="str">
        <f>IF(G113="","",IFERROR(VLOOKUP(G113,PROFESSORES!A:B,2,FALSE),""))</f>
        <v/>
      </c>
      <c r="I113" s="10"/>
      <c r="J113" s="10"/>
      <c r="K113" s="11" t="str">
        <f>IF(OR(G113="",C113="",E113="",F113="",I113=""),"",IF(AND((COUNTIFS(DISPONIBILIDADE!A:A,G113,DISPONIBILIDADE!C:C,C113,DISPONIBILIDADE!D:D,"&lt;="&amp;E113,DISPONIBILIDADE!E:E,"&gt;="&amp;F113,DISPONIBILIDADE!F:F,I113,DISPONIBILIDADE!G:G,"Sim")+COUNTIFS(DISPONIBILIDADE!A:A,G113,DISPONIBILIDADE!C:C,C113,DISPONIBILIDADE!D:D,"&lt;="&amp;E113,DISPONIBILIDADE!E:E,"&gt;="&amp;F113,DISPONIBILIDADE!F:F,"Ambas",DISPONIBILIDADE!G:G,"Sim"))&gt;0,COUNTIFS($G$3:$G$502,G113,$B$3:$B$502,B113,$E$3:$E$502,"&lt;"&amp;F113,$F$3:$F$502,"&gt;"&amp;E113,$A$3:$A$502,"&lt;&gt;"&amp;A113)=0),"Sim","Não"))</f>
        <v/>
      </c>
      <c r="L113" s="11" t="str">
        <f>IF(OR(G113="",D113=""),"",IF(COUNTIFS('RESTRIÇÕES'!A:A,G113,'RESTRIÇÕES'!C:C,D113,'RESTRIÇÕES'!F:F,"Sim")&gt;0,"Com restrição","Sem restrição"))</f>
        <v/>
      </c>
      <c r="M113" s="11" t="str">
        <f t="shared" si="2"/>
        <v/>
      </c>
    </row>
    <row r="114" ht="15.75" customHeight="1">
      <c r="A114" s="13" t="str">
        <f t="shared" si="3"/>
        <v/>
      </c>
      <c r="B114" s="27"/>
      <c r="C114" s="13" t="str">
        <f t="shared" si="4"/>
        <v/>
      </c>
      <c r="D114" s="12"/>
      <c r="E114" s="21"/>
      <c r="F114" s="21"/>
      <c r="G114" s="12"/>
      <c r="H114" s="13" t="str">
        <f>IF(G114="","",IFERROR(VLOOKUP(G114,PROFESSORES!A:B,2,FALSE),""))</f>
        <v/>
      </c>
      <c r="I114" s="12"/>
      <c r="J114" s="12"/>
      <c r="K114" s="13" t="str">
        <f>IF(OR(G114="",C114="",E114="",F114="",I114=""),"",IF(AND((COUNTIFS(DISPONIBILIDADE!A:A,G114,DISPONIBILIDADE!C:C,C114,DISPONIBILIDADE!D:D,"&lt;="&amp;E114,DISPONIBILIDADE!E:E,"&gt;="&amp;F114,DISPONIBILIDADE!F:F,I114,DISPONIBILIDADE!G:G,"Sim")+COUNTIFS(DISPONIBILIDADE!A:A,G114,DISPONIBILIDADE!C:C,C114,DISPONIBILIDADE!D:D,"&lt;="&amp;E114,DISPONIBILIDADE!E:E,"&gt;="&amp;F114,DISPONIBILIDADE!F:F,"Ambas",DISPONIBILIDADE!G:G,"Sim"))&gt;0,COUNTIFS($G$3:$G$502,G114,$B$3:$B$502,B114,$E$3:$E$502,"&lt;"&amp;F114,$F$3:$F$502,"&gt;"&amp;E114,$A$3:$A$502,"&lt;&gt;"&amp;A114)=0),"Sim","Não"))</f>
        <v/>
      </c>
      <c r="L114" s="13" t="str">
        <f>IF(OR(G114="",D114=""),"",IF(COUNTIFS('RESTRIÇÕES'!A:A,G114,'RESTRIÇÕES'!C:C,D114,'RESTRIÇÕES'!F:F,"Sim")&gt;0,"Com restrição","Sem restrição"))</f>
        <v/>
      </c>
      <c r="M114" s="13" t="str">
        <f t="shared" si="2"/>
        <v/>
      </c>
    </row>
    <row r="115" ht="15.75" customHeight="1">
      <c r="A115" s="11" t="str">
        <f t="shared" si="3"/>
        <v/>
      </c>
      <c r="B115" s="28"/>
      <c r="C115" s="11" t="str">
        <f t="shared" si="4"/>
        <v/>
      </c>
      <c r="D115" s="10"/>
      <c r="E115" s="19"/>
      <c r="F115" s="19"/>
      <c r="G115" s="10"/>
      <c r="H115" s="11" t="str">
        <f>IF(G115="","",IFERROR(VLOOKUP(G115,PROFESSORES!A:B,2,FALSE),""))</f>
        <v/>
      </c>
      <c r="I115" s="10"/>
      <c r="J115" s="10"/>
      <c r="K115" s="11" t="str">
        <f>IF(OR(G115="",C115="",E115="",F115="",I115=""),"",IF(AND((COUNTIFS(DISPONIBILIDADE!A:A,G115,DISPONIBILIDADE!C:C,C115,DISPONIBILIDADE!D:D,"&lt;="&amp;E115,DISPONIBILIDADE!E:E,"&gt;="&amp;F115,DISPONIBILIDADE!F:F,I115,DISPONIBILIDADE!G:G,"Sim")+COUNTIFS(DISPONIBILIDADE!A:A,G115,DISPONIBILIDADE!C:C,C115,DISPONIBILIDADE!D:D,"&lt;="&amp;E115,DISPONIBILIDADE!E:E,"&gt;="&amp;F115,DISPONIBILIDADE!F:F,"Ambas",DISPONIBILIDADE!G:G,"Sim"))&gt;0,COUNTIFS($G$3:$G$502,G115,$B$3:$B$502,B115,$E$3:$E$502,"&lt;"&amp;F115,$F$3:$F$502,"&gt;"&amp;E115,$A$3:$A$502,"&lt;&gt;"&amp;A115)=0),"Sim","Não"))</f>
        <v/>
      </c>
      <c r="L115" s="11" t="str">
        <f>IF(OR(G115="",D115=""),"",IF(COUNTIFS('RESTRIÇÕES'!A:A,G115,'RESTRIÇÕES'!C:C,D115,'RESTRIÇÕES'!F:F,"Sim")&gt;0,"Com restrição","Sem restrição"))</f>
        <v/>
      </c>
      <c r="M115" s="11" t="str">
        <f t="shared" si="2"/>
        <v/>
      </c>
    </row>
    <row r="116" ht="15.75" customHeight="1">
      <c r="A116" s="13" t="str">
        <f t="shared" si="3"/>
        <v/>
      </c>
      <c r="B116" s="27"/>
      <c r="C116" s="13" t="str">
        <f t="shared" si="4"/>
        <v/>
      </c>
      <c r="D116" s="12"/>
      <c r="E116" s="21"/>
      <c r="F116" s="21"/>
      <c r="G116" s="12"/>
      <c r="H116" s="13" t="str">
        <f>IF(G116="","",IFERROR(VLOOKUP(G116,PROFESSORES!A:B,2,FALSE),""))</f>
        <v/>
      </c>
      <c r="I116" s="12"/>
      <c r="J116" s="12"/>
      <c r="K116" s="13" t="str">
        <f>IF(OR(G116="",C116="",E116="",F116="",I116=""),"",IF(AND((COUNTIFS(DISPONIBILIDADE!A:A,G116,DISPONIBILIDADE!C:C,C116,DISPONIBILIDADE!D:D,"&lt;="&amp;E116,DISPONIBILIDADE!E:E,"&gt;="&amp;F116,DISPONIBILIDADE!F:F,I116,DISPONIBILIDADE!G:G,"Sim")+COUNTIFS(DISPONIBILIDADE!A:A,G116,DISPONIBILIDADE!C:C,C116,DISPONIBILIDADE!D:D,"&lt;="&amp;E116,DISPONIBILIDADE!E:E,"&gt;="&amp;F116,DISPONIBILIDADE!F:F,"Ambas",DISPONIBILIDADE!G:G,"Sim"))&gt;0,COUNTIFS($G$3:$G$502,G116,$B$3:$B$502,B116,$E$3:$E$502,"&lt;"&amp;F116,$F$3:$F$502,"&gt;"&amp;E116,$A$3:$A$502,"&lt;&gt;"&amp;A116)=0),"Sim","Não"))</f>
        <v/>
      </c>
      <c r="L116" s="13" t="str">
        <f>IF(OR(G116="",D116=""),"",IF(COUNTIFS('RESTRIÇÕES'!A:A,G116,'RESTRIÇÕES'!C:C,D116,'RESTRIÇÕES'!F:F,"Sim")&gt;0,"Com restrição","Sem restrição"))</f>
        <v/>
      </c>
      <c r="M116" s="13" t="str">
        <f t="shared" si="2"/>
        <v/>
      </c>
    </row>
    <row r="117" ht="15.75" customHeight="1">
      <c r="A117" s="11" t="str">
        <f t="shared" si="3"/>
        <v/>
      </c>
      <c r="B117" s="28"/>
      <c r="C117" s="11" t="str">
        <f t="shared" si="4"/>
        <v/>
      </c>
      <c r="D117" s="10"/>
      <c r="E117" s="19"/>
      <c r="F117" s="19"/>
      <c r="G117" s="10"/>
      <c r="H117" s="11" t="str">
        <f>IF(G117="","",IFERROR(VLOOKUP(G117,PROFESSORES!A:B,2,FALSE),""))</f>
        <v/>
      </c>
      <c r="I117" s="10"/>
      <c r="J117" s="10"/>
      <c r="K117" s="11" t="str">
        <f>IF(OR(G117="",C117="",E117="",F117="",I117=""),"",IF(AND((COUNTIFS(DISPONIBILIDADE!A:A,G117,DISPONIBILIDADE!C:C,C117,DISPONIBILIDADE!D:D,"&lt;="&amp;E117,DISPONIBILIDADE!E:E,"&gt;="&amp;F117,DISPONIBILIDADE!F:F,I117,DISPONIBILIDADE!G:G,"Sim")+COUNTIFS(DISPONIBILIDADE!A:A,G117,DISPONIBILIDADE!C:C,C117,DISPONIBILIDADE!D:D,"&lt;="&amp;E117,DISPONIBILIDADE!E:E,"&gt;="&amp;F117,DISPONIBILIDADE!F:F,"Ambas",DISPONIBILIDADE!G:G,"Sim"))&gt;0,COUNTIFS($G$3:$G$502,G117,$B$3:$B$502,B117,$E$3:$E$502,"&lt;"&amp;F117,$F$3:$F$502,"&gt;"&amp;E117,$A$3:$A$502,"&lt;&gt;"&amp;A117)=0),"Sim","Não"))</f>
        <v/>
      </c>
      <c r="L117" s="11" t="str">
        <f>IF(OR(G117="",D117=""),"",IF(COUNTIFS('RESTRIÇÕES'!A:A,G117,'RESTRIÇÕES'!C:C,D117,'RESTRIÇÕES'!F:F,"Sim")&gt;0,"Com restrição","Sem restrição"))</f>
        <v/>
      </c>
      <c r="M117" s="11" t="str">
        <f t="shared" si="2"/>
        <v/>
      </c>
    </row>
    <row r="118" ht="15.75" customHeight="1">
      <c r="A118" s="13" t="str">
        <f t="shared" si="3"/>
        <v/>
      </c>
      <c r="B118" s="27"/>
      <c r="C118" s="13" t="str">
        <f t="shared" si="4"/>
        <v/>
      </c>
      <c r="D118" s="12"/>
      <c r="E118" s="21"/>
      <c r="F118" s="21"/>
      <c r="G118" s="12"/>
      <c r="H118" s="13" t="str">
        <f>IF(G118="","",IFERROR(VLOOKUP(G118,PROFESSORES!A:B,2,FALSE),""))</f>
        <v/>
      </c>
      <c r="I118" s="12"/>
      <c r="J118" s="12"/>
      <c r="K118" s="13" t="str">
        <f>IF(OR(G118="",C118="",E118="",F118="",I118=""),"",IF(AND((COUNTIFS(DISPONIBILIDADE!A:A,G118,DISPONIBILIDADE!C:C,C118,DISPONIBILIDADE!D:D,"&lt;="&amp;E118,DISPONIBILIDADE!E:E,"&gt;="&amp;F118,DISPONIBILIDADE!F:F,I118,DISPONIBILIDADE!G:G,"Sim")+COUNTIFS(DISPONIBILIDADE!A:A,G118,DISPONIBILIDADE!C:C,C118,DISPONIBILIDADE!D:D,"&lt;="&amp;E118,DISPONIBILIDADE!E:E,"&gt;="&amp;F118,DISPONIBILIDADE!F:F,"Ambas",DISPONIBILIDADE!G:G,"Sim"))&gt;0,COUNTIFS($G$3:$G$502,G118,$B$3:$B$502,B118,$E$3:$E$502,"&lt;"&amp;F118,$F$3:$F$502,"&gt;"&amp;E118,$A$3:$A$502,"&lt;&gt;"&amp;A118)=0),"Sim","Não"))</f>
        <v/>
      </c>
      <c r="L118" s="13" t="str">
        <f>IF(OR(G118="",D118=""),"",IF(COUNTIFS('RESTRIÇÕES'!A:A,G118,'RESTRIÇÕES'!C:C,D118,'RESTRIÇÕES'!F:F,"Sim")&gt;0,"Com restrição","Sem restrição"))</f>
        <v/>
      </c>
      <c r="M118" s="13" t="str">
        <f t="shared" si="2"/>
        <v/>
      </c>
    </row>
    <row r="119" ht="15.75" customHeight="1">
      <c r="A119" s="11" t="str">
        <f t="shared" si="3"/>
        <v/>
      </c>
      <c r="B119" s="28"/>
      <c r="C119" s="11" t="str">
        <f t="shared" si="4"/>
        <v/>
      </c>
      <c r="D119" s="10"/>
      <c r="E119" s="19"/>
      <c r="F119" s="19"/>
      <c r="G119" s="10"/>
      <c r="H119" s="11" t="str">
        <f>IF(G119="","",IFERROR(VLOOKUP(G119,PROFESSORES!A:B,2,FALSE),""))</f>
        <v/>
      </c>
      <c r="I119" s="10"/>
      <c r="J119" s="10"/>
      <c r="K119" s="11" t="str">
        <f>IF(OR(G119="",C119="",E119="",F119="",I119=""),"",IF(AND((COUNTIFS(DISPONIBILIDADE!A:A,G119,DISPONIBILIDADE!C:C,C119,DISPONIBILIDADE!D:D,"&lt;="&amp;E119,DISPONIBILIDADE!E:E,"&gt;="&amp;F119,DISPONIBILIDADE!F:F,I119,DISPONIBILIDADE!G:G,"Sim")+COUNTIFS(DISPONIBILIDADE!A:A,G119,DISPONIBILIDADE!C:C,C119,DISPONIBILIDADE!D:D,"&lt;="&amp;E119,DISPONIBILIDADE!E:E,"&gt;="&amp;F119,DISPONIBILIDADE!F:F,"Ambas",DISPONIBILIDADE!G:G,"Sim"))&gt;0,COUNTIFS($G$3:$G$502,G119,$B$3:$B$502,B119,$E$3:$E$502,"&lt;"&amp;F119,$F$3:$F$502,"&gt;"&amp;E119,$A$3:$A$502,"&lt;&gt;"&amp;A119)=0),"Sim","Não"))</f>
        <v/>
      </c>
      <c r="L119" s="11" t="str">
        <f>IF(OR(G119="",D119=""),"",IF(COUNTIFS('RESTRIÇÕES'!A:A,G119,'RESTRIÇÕES'!C:C,D119,'RESTRIÇÕES'!F:F,"Sim")&gt;0,"Com restrição","Sem restrição"))</f>
        <v/>
      </c>
      <c r="M119" s="11" t="str">
        <f t="shared" si="2"/>
        <v/>
      </c>
    </row>
    <row r="120" ht="15.75" customHeight="1">
      <c r="A120" s="13" t="str">
        <f t="shared" si="3"/>
        <v/>
      </c>
      <c r="B120" s="27"/>
      <c r="C120" s="13" t="str">
        <f t="shared" si="4"/>
        <v/>
      </c>
      <c r="D120" s="12"/>
      <c r="E120" s="21"/>
      <c r="F120" s="21"/>
      <c r="G120" s="12"/>
      <c r="H120" s="13" t="str">
        <f>IF(G120="","",IFERROR(VLOOKUP(G120,PROFESSORES!A:B,2,FALSE),""))</f>
        <v/>
      </c>
      <c r="I120" s="12"/>
      <c r="J120" s="12"/>
      <c r="K120" s="13" t="str">
        <f>IF(OR(G120="",C120="",E120="",F120="",I120=""),"",IF(AND((COUNTIFS(DISPONIBILIDADE!A:A,G120,DISPONIBILIDADE!C:C,C120,DISPONIBILIDADE!D:D,"&lt;="&amp;E120,DISPONIBILIDADE!E:E,"&gt;="&amp;F120,DISPONIBILIDADE!F:F,I120,DISPONIBILIDADE!G:G,"Sim")+COUNTIFS(DISPONIBILIDADE!A:A,G120,DISPONIBILIDADE!C:C,C120,DISPONIBILIDADE!D:D,"&lt;="&amp;E120,DISPONIBILIDADE!E:E,"&gt;="&amp;F120,DISPONIBILIDADE!F:F,"Ambas",DISPONIBILIDADE!G:G,"Sim"))&gt;0,COUNTIFS($G$3:$G$502,G120,$B$3:$B$502,B120,$E$3:$E$502,"&lt;"&amp;F120,$F$3:$F$502,"&gt;"&amp;E120,$A$3:$A$502,"&lt;&gt;"&amp;A120)=0),"Sim","Não"))</f>
        <v/>
      </c>
      <c r="L120" s="13" t="str">
        <f>IF(OR(G120="",D120=""),"",IF(COUNTIFS('RESTRIÇÕES'!A:A,G120,'RESTRIÇÕES'!C:C,D120,'RESTRIÇÕES'!F:F,"Sim")&gt;0,"Com restrição","Sem restrição"))</f>
        <v/>
      </c>
      <c r="M120" s="13" t="str">
        <f t="shared" si="2"/>
        <v/>
      </c>
    </row>
    <row r="121" ht="15.75" customHeight="1">
      <c r="A121" s="11" t="str">
        <f t="shared" si="3"/>
        <v/>
      </c>
      <c r="B121" s="28"/>
      <c r="C121" s="11" t="str">
        <f t="shared" si="4"/>
        <v/>
      </c>
      <c r="D121" s="10"/>
      <c r="E121" s="19"/>
      <c r="F121" s="19"/>
      <c r="G121" s="10"/>
      <c r="H121" s="11" t="str">
        <f>IF(G121="","",IFERROR(VLOOKUP(G121,PROFESSORES!A:B,2,FALSE),""))</f>
        <v/>
      </c>
      <c r="I121" s="10"/>
      <c r="J121" s="10"/>
      <c r="K121" s="11" t="str">
        <f>IF(OR(G121="",C121="",E121="",F121="",I121=""),"",IF(AND((COUNTIFS(DISPONIBILIDADE!A:A,G121,DISPONIBILIDADE!C:C,C121,DISPONIBILIDADE!D:D,"&lt;="&amp;E121,DISPONIBILIDADE!E:E,"&gt;="&amp;F121,DISPONIBILIDADE!F:F,I121,DISPONIBILIDADE!G:G,"Sim")+COUNTIFS(DISPONIBILIDADE!A:A,G121,DISPONIBILIDADE!C:C,C121,DISPONIBILIDADE!D:D,"&lt;="&amp;E121,DISPONIBILIDADE!E:E,"&gt;="&amp;F121,DISPONIBILIDADE!F:F,"Ambas",DISPONIBILIDADE!G:G,"Sim"))&gt;0,COUNTIFS($G$3:$G$502,G121,$B$3:$B$502,B121,$E$3:$E$502,"&lt;"&amp;F121,$F$3:$F$502,"&gt;"&amp;E121,$A$3:$A$502,"&lt;&gt;"&amp;A121)=0),"Sim","Não"))</f>
        <v/>
      </c>
      <c r="L121" s="11" t="str">
        <f>IF(OR(G121="",D121=""),"",IF(COUNTIFS('RESTRIÇÕES'!A:A,G121,'RESTRIÇÕES'!C:C,D121,'RESTRIÇÕES'!F:F,"Sim")&gt;0,"Com restrição","Sem restrição"))</f>
        <v/>
      </c>
      <c r="M121" s="11" t="str">
        <f t="shared" si="2"/>
        <v/>
      </c>
    </row>
    <row r="122" ht="15.75" customHeight="1">
      <c r="A122" s="13" t="str">
        <f t="shared" si="3"/>
        <v/>
      </c>
      <c r="B122" s="27"/>
      <c r="C122" s="13" t="str">
        <f t="shared" si="4"/>
        <v/>
      </c>
      <c r="D122" s="12"/>
      <c r="E122" s="21"/>
      <c r="F122" s="21"/>
      <c r="G122" s="12"/>
      <c r="H122" s="13" t="str">
        <f>IF(G122="","",IFERROR(VLOOKUP(G122,PROFESSORES!A:B,2,FALSE),""))</f>
        <v/>
      </c>
      <c r="I122" s="12"/>
      <c r="J122" s="12"/>
      <c r="K122" s="13" t="str">
        <f>IF(OR(G122="",C122="",E122="",F122="",I122=""),"",IF(AND((COUNTIFS(DISPONIBILIDADE!A:A,G122,DISPONIBILIDADE!C:C,C122,DISPONIBILIDADE!D:D,"&lt;="&amp;E122,DISPONIBILIDADE!E:E,"&gt;="&amp;F122,DISPONIBILIDADE!F:F,I122,DISPONIBILIDADE!G:G,"Sim")+COUNTIFS(DISPONIBILIDADE!A:A,G122,DISPONIBILIDADE!C:C,C122,DISPONIBILIDADE!D:D,"&lt;="&amp;E122,DISPONIBILIDADE!E:E,"&gt;="&amp;F122,DISPONIBILIDADE!F:F,"Ambas",DISPONIBILIDADE!G:G,"Sim"))&gt;0,COUNTIFS($G$3:$G$502,G122,$B$3:$B$502,B122,$E$3:$E$502,"&lt;"&amp;F122,$F$3:$F$502,"&gt;"&amp;E122,$A$3:$A$502,"&lt;&gt;"&amp;A122)=0),"Sim","Não"))</f>
        <v/>
      </c>
      <c r="L122" s="13" t="str">
        <f>IF(OR(G122="",D122=""),"",IF(COUNTIFS('RESTRIÇÕES'!A:A,G122,'RESTRIÇÕES'!C:C,D122,'RESTRIÇÕES'!F:F,"Sim")&gt;0,"Com restrição","Sem restrição"))</f>
        <v/>
      </c>
      <c r="M122" s="13" t="str">
        <f t="shared" si="2"/>
        <v/>
      </c>
    </row>
    <row r="123" ht="15.75" customHeight="1">
      <c r="A123" s="11" t="str">
        <f t="shared" si="3"/>
        <v/>
      </c>
      <c r="B123" s="28"/>
      <c r="C123" s="11" t="str">
        <f t="shared" si="4"/>
        <v/>
      </c>
      <c r="D123" s="10"/>
      <c r="E123" s="19"/>
      <c r="F123" s="19"/>
      <c r="G123" s="10"/>
      <c r="H123" s="11" t="str">
        <f>IF(G123="","",IFERROR(VLOOKUP(G123,PROFESSORES!A:B,2,FALSE),""))</f>
        <v/>
      </c>
      <c r="I123" s="10"/>
      <c r="J123" s="10"/>
      <c r="K123" s="11" t="str">
        <f>IF(OR(G123="",C123="",E123="",F123="",I123=""),"",IF(AND((COUNTIFS(DISPONIBILIDADE!A:A,G123,DISPONIBILIDADE!C:C,C123,DISPONIBILIDADE!D:D,"&lt;="&amp;E123,DISPONIBILIDADE!E:E,"&gt;="&amp;F123,DISPONIBILIDADE!F:F,I123,DISPONIBILIDADE!G:G,"Sim")+COUNTIFS(DISPONIBILIDADE!A:A,G123,DISPONIBILIDADE!C:C,C123,DISPONIBILIDADE!D:D,"&lt;="&amp;E123,DISPONIBILIDADE!E:E,"&gt;="&amp;F123,DISPONIBILIDADE!F:F,"Ambas",DISPONIBILIDADE!G:G,"Sim"))&gt;0,COUNTIFS($G$3:$G$502,G123,$B$3:$B$502,B123,$E$3:$E$502,"&lt;"&amp;F123,$F$3:$F$502,"&gt;"&amp;E123,$A$3:$A$502,"&lt;&gt;"&amp;A123)=0),"Sim","Não"))</f>
        <v/>
      </c>
      <c r="L123" s="11" t="str">
        <f>IF(OR(G123="",D123=""),"",IF(COUNTIFS('RESTRIÇÕES'!A:A,G123,'RESTRIÇÕES'!C:C,D123,'RESTRIÇÕES'!F:F,"Sim")&gt;0,"Com restrição","Sem restrição"))</f>
        <v/>
      </c>
      <c r="M123" s="11" t="str">
        <f t="shared" si="2"/>
        <v/>
      </c>
    </row>
    <row r="124" ht="15.75" customHeight="1">
      <c r="A124" s="13" t="str">
        <f t="shared" si="3"/>
        <v/>
      </c>
      <c r="B124" s="27"/>
      <c r="C124" s="13" t="str">
        <f t="shared" si="4"/>
        <v/>
      </c>
      <c r="D124" s="12"/>
      <c r="E124" s="21"/>
      <c r="F124" s="21"/>
      <c r="G124" s="12"/>
      <c r="H124" s="13" t="str">
        <f>IF(G124="","",IFERROR(VLOOKUP(G124,PROFESSORES!A:B,2,FALSE),""))</f>
        <v/>
      </c>
      <c r="I124" s="12"/>
      <c r="J124" s="12"/>
      <c r="K124" s="13" t="str">
        <f>IF(OR(G124="",C124="",E124="",F124="",I124=""),"",IF(AND((COUNTIFS(DISPONIBILIDADE!A:A,G124,DISPONIBILIDADE!C:C,C124,DISPONIBILIDADE!D:D,"&lt;="&amp;E124,DISPONIBILIDADE!E:E,"&gt;="&amp;F124,DISPONIBILIDADE!F:F,I124,DISPONIBILIDADE!G:G,"Sim")+COUNTIFS(DISPONIBILIDADE!A:A,G124,DISPONIBILIDADE!C:C,C124,DISPONIBILIDADE!D:D,"&lt;="&amp;E124,DISPONIBILIDADE!E:E,"&gt;="&amp;F124,DISPONIBILIDADE!F:F,"Ambas",DISPONIBILIDADE!G:G,"Sim"))&gt;0,COUNTIFS($G$3:$G$502,G124,$B$3:$B$502,B124,$E$3:$E$502,"&lt;"&amp;F124,$F$3:$F$502,"&gt;"&amp;E124,$A$3:$A$502,"&lt;&gt;"&amp;A124)=0),"Sim","Não"))</f>
        <v/>
      </c>
      <c r="L124" s="13" t="str">
        <f>IF(OR(G124="",D124=""),"",IF(COUNTIFS('RESTRIÇÕES'!A:A,G124,'RESTRIÇÕES'!C:C,D124,'RESTRIÇÕES'!F:F,"Sim")&gt;0,"Com restrição","Sem restrição"))</f>
        <v/>
      </c>
      <c r="M124" s="13" t="str">
        <f t="shared" si="2"/>
        <v/>
      </c>
    </row>
    <row r="125" ht="15.75" customHeight="1">
      <c r="A125" s="11" t="str">
        <f t="shared" si="3"/>
        <v/>
      </c>
      <c r="B125" s="28"/>
      <c r="C125" s="11" t="str">
        <f t="shared" si="4"/>
        <v/>
      </c>
      <c r="D125" s="10"/>
      <c r="E125" s="19"/>
      <c r="F125" s="19"/>
      <c r="G125" s="10"/>
      <c r="H125" s="11" t="str">
        <f>IF(G125="","",IFERROR(VLOOKUP(G125,PROFESSORES!A:B,2,FALSE),""))</f>
        <v/>
      </c>
      <c r="I125" s="10"/>
      <c r="J125" s="10"/>
      <c r="K125" s="11" t="str">
        <f>IF(OR(G125="",C125="",E125="",F125="",I125=""),"",IF(AND((COUNTIFS(DISPONIBILIDADE!A:A,G125,DISPONIBILIDADE!C:C,C125,DISPONIBILIDADE!D:D,"&lt;="&amp;E125,DISPONIBILIDADE!E:E,"&gt;="&amp;F125,DISPONIBILIDADE!F:F,I125,DISPONIBILIDADE!G:G,"Sim")+COUNTIFS(DISPONIBILIDADE!A:A,G125,DISPONIBILIDADE!C:C,C125,DISPONIBILIDADE!D:D,"&lt;="&amp;E125,DISPONIBILIDADE!E:E,"&gt;="&amp;F125,DISPONIBILIDADE!F:F,"Ambas",DISPONIBILIDADE!G:G,"Sim"))&gt;0,COUNTIFS($G$3:$G$502,G125,$B$3:$B$502,B125,$E$3:$E$502,"&lt;"&amp;F125,$F$3:$F$502,"&gt;"&amp;E125,$A$3:$A$502,"&lt;&gt;"&amp;A125)=0),"Sim","Não"))</f>
        <v/>
      </c>
      <c r="L125" s="11" t="str">
        <f>IF(OR(G125="",D125=""),"",IF(COUNTIFS('RESTRIÇÕES'!A:A,G125,'RESTRIÇÕES'!C:C,D125,'RESTRIÇÕES'!F:F,"Sim")&gt;0,"Com restrição","Sem restrição"))</f>
        <v/>
      </c>
      <c r="M125" s="11" t="str">
        <f t="shared" si="2"/>
        <v/>
      </c>
    </row>
    <row r="126" ht="15.75" customHeight="1">
      <c r="A126" s="13" t="str">
        <f t="shared" si="3"/>
        <v/>
      </c>
      <c r="B126" s="27"/>
      <c r="C126" s="13" t="str">
        <f t="shared" si="4"/>
        <v/>
      </c>
      <c r="D126" s="12"/>
      <c r="E126" s="21"/>
      <c r="F126" s="21"/>
      <c r="G126" s="12"/>
      <c r="H126" s="13" t="str">
        <f>IF(G126="","",IFERROR(VLOOKUP(G126,PROFESSORES!A:B,2,FALSE),""))</f>
        <v/>
      </c>
      <c r="I126" s="12"/>
      <c r="J126" s="12"/>
      <c r="K126" s="13" t="str">
        <f>IF(OR(G126="",C126="",E126="",F126="",I126=""),"",IF(AND((COUNTIFS(DISPONIBILIDADE!A:A,G126,DISPONIBILIDADE!C:C,C126,DISPONIBILIDADE!D:D,"&lt;="&amp;E126,DISPONIBILIDADE!E:E,"&gt;="&amp;F126,DISPONIBILIDADE!F:F,I126,DISPONIBILIDADE!G:G,"Sim")+COUNTIFS(DISPONIBILIDADE!A:A,G126,DISPONIBILIDADE!C:C,C126,DISPONIBILIDADE!D:D,"&lt;="&amp;E126,DISPONIBILIDADE!E:E,"&gt;="&amp;F126,DISPONIBILIDADE!F:F,"Ambas",DISPONIBILIDADE!G:G,"Sim"))&gt;0,COUNTIFS($G$3:$G$502,G126,$B$3:$B$502,B126,$E$3:$E$502,"&lt;"&amp;F126,$F$3:$F$502,"&gt;"&amp;E126,$A$3:$A$502,"&lt;&gt;"&amp;A126)=0),"Sim","Não"))</f>
        <v/>
      </c>
      <c r="L126" s="13" t="str">
        <f>IF(OR(G126="",D126=""),"",IF(COUNTIFS('RESTRIÇÕES'!A:A,G126,'RESTRIÇÕES'!C:C,D126,'RESTRIÇÕES'!F:F,"Sim")&gt;0,"Com restrição","Sem restrição"))</f>
        <v/>
      </c>
      <c r="M126" s="13" t="str">
        <f t="shared" si="2"/>
        <v/>
      </c>
    </row>
    <row r="127" ht="15.75" customHeight="1">
      <c r="A127" s="11" t="str">
        <f t="shared" si="3"/>
        <v/>
      </c>
      <c r="B127" s="28"/>
      <c r="C127" s="11" t="str">
        <f t="shared" si="4"/>
        <v/>
      </c>
      <c r="D127" s="10"/>
      <c r="E127" s="19"/>
      <c r="F127" s="19"/>
      <c r="G127" s="10"/>
      <c r="H127" s="11" t="str">
        <f>IF(G127="","",IFERROR(VLOOKUP(G127,PROFESSORES!A:B,2,FALSE),""))</f>
        <v/>
      </c>
      <c r="I127" s="10"/>
      <c r="J127" s="10"/>
      <c r="K127" s="11" t="str">
        <f>IF(OR(G127="",C127="",E127="",F127="",I127=""),"",IF(AND((COUNTIFS(DISPONIBILIDADE!A:A,G127,DISPONIBILIDADE!C:C,C127,DISPONIBILIDADE!D:D,"&lt;="&amp;E127,DISPONIBILIDADE!E:E,"&gt;="&amp;F127,DISPONIBILIDADE!F:F,I127,DISPONIBILIDADE!G:G,"Sim")+COUNTIFS(DISPONIBILIDADE!A:A,G127,DISPONIBILIDADE!C:C,C127,DISPONIBILIDADE!D:D,"&lt;="&amp;E127,DISPONIBILIDADE!E:E,"&gt;="&amp;F127,DISPONIBILIDADE!F:F,"Ambas",DISPONIBILIDADE!G:G,"Sim"))&gt;0,COUNTIFS($G$3:$G$502,G127,$B$3:$B$502,B127,$E$3:$E$502,"&lt;"&amp;F127,$F$3:$F$502,"&gt;"&amp;E127,$A$3:$A$502,"&lt;&gt;"&amp;A127)=0),"Sim","Não"))</f>
        <v/>
      </c>
      <c r="L127" s="11" t="str">
        <f>IF(OR(G127="",D127=""),"",IF(COUNTIFS('RESTRIÇÕES'!A:A,G127,'RESTRIÇÕES'!C:C,D127,'RESTRIÇÕES'!F:F,"Sim")&gt;0,"Com restrição","Sem restrição"))</f>
        <v/>
      </c>
      <c r="M127" s="11" t="str">
        <f t="shared" si="2"/>
        <v/>
      </c>
    </row>
    <row r="128" ht="15.75" customHeight="1">
      <c r="A128" s="13" t="str">
        <f t="shared" si="3"/>
        <v/>
      </c>
      <c r="B128" s="27"/>
      <c r="C128" s="13" t="str">
        <f t="shared" si="4"/>
        <v/>
      </c>
      <c r="D128" s="12"/>
      <c r="E128" s="21"/>
      <c r="F128" s="21"/>
      <c r="G128" s="12"/>
      <c r="H128" s="13" t="str">
        <f>IF(G128="","",IFERROR(VLOOKUP(G128,PROFESSORES!A:B,2,FALSE),""))</f>
        <v/>
      </c>
      <c r="I128" s="12"/>
      <c r="J128" s="12"/>
      <c r="K128" s="13" t="str">
        <f>IF(OR(G128="",C128="",E128="",F128="",I128=""),"",IF(AND((COUNTIFS(DISPONIBILIDADE!A:A,G128,DISPONIBILIDADE!C:C,C128,DISPONIBILIDADE!D:D,"&lt;="&amp;E128,DISPONIBILIDADE!E:E,"&gt;="&amp;F128,DISPONIBILIDADE!F:F,I128,DISPONIBILIDADE!G:G,"Sim")+COUNTIFS(DISPONIBILIDADE!A:A,G128,DISPONIBILIDADE!C:C,C128,DISPONIBILIDADE!D:D,"&lt;="&amp;E128,DISPONIBILIDADE!E:E,"&gt;="&amp;F128,DISPONIBILIDADE!F:F,"Ambas",DISPONIBILIDADE!G:G,"Sim"))&gt;0,COUNTIFS($G$3:$G$502,G128,$B$3:$B$502,B128,$E$3:$E$502,"&lt;"&amp;F128,$F$3:$F$502,"&gt;"&amp;E128,$A$3:$A$502,"&lt;&gt;"&amp;A128)=0),"Sim","Não"))</f>
        <v/>
      </c>
      <c r="L128" s="13" t="str">
        <f>IF(OR(G128="",D128=""),"",IF(COUNTIFS('RESTRIÇÕES'!A:A,G128,'RESTRIÇÕES'!C:C,D128,'RESTRIÇÕES'!F:F,"Sim")&gt;0,"Com restrição","Sem restrição"))</f>
        <v/>
      </c>
      <c r="M128" s="13" t="str">
        <f t="shared" si="2"/>
        <v/>
      </c>
    </row>
    <row r="129" ht="15.75" customHeight="1">
      <c r="A129" s="11" t="str">
        <f t="shared" si="3"/>
        <v/>
      </c>
      <c r="B129" s="28"/>
      <c r="C129" s="11" t="str">
        <f t="shared" si="4"/>
        <v/>
      </c>
      <c r="D129" s="10"/>
      <c r="E129" s="19"/>
      <c r="F129" s="19"/>
      <c r="G129" s="10"/>
      <c r="H129" s="11" t="str">
        <f>IF(G129="","",IFERROR(VLOOKUP(G129,PROFESSORES!A:B,2,FALSE),""))</f>
        <v/>
      </c>
      <c r="I129" s="10"/>
      <c r="J129" s="10"/>
      <c r="K129" s="11" t="str">
        <f>IF(OR(G129="",C129="",E129="",F129="",I129=""),"",IF(AND((COUNTIFS(DISPONIBILIDADE!A:A,G129,DISPONIBILIDADE!C:C,C129,DISPONIBILIDADE!D:D,"&lt;="&amp;E129,DISPONIBILIDADE!E:E,"&gt;="&amp;F129,DISPONIBILIDADE!F:F,I129,DISPONIBILIDADE!G:G,"Sim")+COUNTIFS(DISPONIBILIDADE!A:A,G129,DISPONIBILIDADE!C:C,C129,DISPONIBILIDADE!D:D,"&lt;="&amp;E129,DISPONIBILIDADE!E:E,"&gt;="&amp;F129,DISPONIBILIDADE!F:F,"Ambas",DISPONIBILIDADE!G:G,"Sim"))&gt;0,COUNTIFS($G$3:$G$502,G129,$B$3:$B$502,B129,$E$3:$E$502,"&lt;"&amp;F129,$F$3:$F$502,"&gt;"&amp;E129,$A$3:$A$502,"&lt;&gt;"&amp;A129)=0),"Sim","Não"))</f>
        <v/>
      </c>
      <c r="L129" s="11" t="str">
        <f>IF(OR(G129="",D129=""),"",IF(COUNTIFS('RESTRIÇÕES'!A:A,G129,'RESTRIÇÕES'!C:C,D129,'RESTRIÇÕES'!F:F,"Sim")&gt;0,"Com restrição","Sem restrição"))</f>
        <v/>
      </c>
      <c r="M129" s="11" t="str">
        <f t="shared" si="2"/>
        <v/>
      </c>
    </row>
    <row r="130" ht="15.75" customHeight="1">
      <c r="A130" s="13" t="str">
        <f t="shared" si="3"/>
        <v/>
      </c>
      <c r="B130" s="27"/>
      <c r="C130" s="13" t="str">
        <f t="shared" si="4"/>
        <v/>
      </c>
      <c r="D130" s="12"/>
      <c r="E130" s="21"/>
      <c r="F130" s="21"/>
      <c r="G130" s="12"/>
      <c r="H130" s="13" t="str">
        <f>IF(G130="","",IFERROR(VLOOKUP(G130,PROFESSORES!A:B,2,FALSE),""))</f>
        <v/>
      </c>
      <c r="I130" s="12"/>
      <c r="J130" s="12"/>
      <c r="K130" s="13" t="str">
        <f>IF(OR(G130="",C130="",E130="",F130="",I130=""),"",IF(AND((COUNTIFS(DISPONIBILIDADE!A:A,G130,DISPONIBILIDADE!C:C,C130,DISPONIBILIDADE!D:D,"&lt;="&amp;E130,DISPONIBILIDADE!E:E,"&gt;="&amp;F130,DISPONIBILIDADE!F:F,I130,DISPONIBILIDADE!G:G,"Sim")+COUNTIFS(DISPONIBILIDADE!A:A,G130,DISPONIBILIDADE!C:C,C130,DISPONIBILIDADE!D:D,"&lt;="&amp;E130,DISPONIBILIDADE!E:E,"&gt;="&amp;F130,DISPONIBILIDADE!F:F,"Ambas",DISPONIBILIDADE!G:G,"Sim"))&gt;0,COUNTIFS($G$3:$G$502,G130,$B$3:$B$502,B130,$E$3:$E$502,"&lt;"&amp;F130,$F$3:$F$502,"&gt;"&amp;E130,$A$3:$A$502,"&lt;&gt;"&amp;A130)=0),"Sim","Não"))</f>
        <v/>
      </c>
      <c r="L130" s="13" t="str">
        <f>IF(OR(G130="",D130=""),"",IF(COUNTIFS('RESTRIÇÕES'!A:A,G130,'RESTRIÇÕES'!C:C,D130,'RESTRIÇÕES'!F:F,"Sim")&gt;0,"Com restrição","Sem restrição"))</f>
        <v/>
      </c>
      <c r="M130" s="13" t="str">
        <f t="shared" si="2"/>
        <v/>
      </c>
    </row>
    <row r="131" ht="15.75" customHeight="1">
      <c r="A131" s="11" t="str">
        <f t="shared" si="3"/>
        <v/>
      </c>
      <c r="B131" s="28"/>
      <c r="C131" s="11" t="str">
        <f t="shared" si="4"/>
        <v/>
      </c>
      <c r="D131" s="10"/>
      <c r="E131" s="19"/>
      <c r="F131" s="19"/>
      <c r="G131" s="10"/>
      <c r="H131" s="11" t="str">
        <f>IF(G131="","",IFERROR(VLOOKUP(G131,PROFESSORES!A:B,2,FALSE),""))</f>
        <v/>
      </c>
      <c r="I131" s="10"/>
      <c r="J131" s="10"/>
      <c r="K131" s="11" t="str">
        <f>IF(OR(G131="",C131="",E131="",F131="",I131=""),"",IF(AND((COUNTIFS(DISPONIBILIDADE!A:A,G131,DISPONIBILIDADE!C:C,C131,DISPONIBILIDADE!D:D,"&lt;="&amp;E131,DISPONIBILIDADE!E:E,"&gt;="&amp;F131,DISPONIBILIDADE!F:F,I131,DISPONIBILIDADE!G:G,"Sim")+COUNTIFS(DISPONIBILIDADE!A:A,G131,DISPONIBILIDADE!C:C,C131,DISPONIBILIDADE!D:D,"&lt;="&amp;E131,DISPONIBILIDADE!E:E,"&gt;="&amp;F131,DISPONIBILIDADE!F:F,"Ambas",DISPONIBILIDADE!G:G,"Sim"))&gt;0,COUNTIFS($G$3:$G$502,G131,$B$3:$B$502,B131,$E$3:$E$502,"&lt;"&amp;F131,$F$3:$F$502,"&gt;"&amp;E131,$A$3:$A$502,"&lt;&gt;"&amp;A131)=0),"Sim","Não"))</f>
        <v/>
      </c>
      <c r="L131" s="11" t="str">
        <f>IF(OR(G131="",D131=""),"",IF(COUNTIFS('RESTRIÇÕES'!A:A,G131,'RESTRIÇÕES'!C:C,D131,'RESTRIÇÕES'!F:F,"Sim")&gt;0,"Com restrição","Sem restrição"))</f>
        <v/>
      </c>
      <c r="M131" s="11" t="str">
        <f t="shared" si="2"/>
        <v/>
      </c>
    </row>
    <row r="132" ht="15.75" customHeight="1">
      <c r="A132" s="13" t="str">
        <f t="shared" si="3"/>
        <v/>
      </c>
      <c r="B132" s="27"/>
      <c r="C132" s="13" t="str">
        <f t="shared" si="4"/>
        <v/>
      </c>
      <c r="D132" s="12"/>
      <c r="E132" s="21"/>
      <c r="F132" s="21"/>
      <c r="G132" s="12"/>
      <c r="H132" s="13" t="str">
        <f>IF(G132="","",IFERROR(VLOOKUP(G132,PROFESSORES!A:B,2,FALSE),""))</f>
        <v/>
      </c>
      <c r="I132" s="12"/>
      <c r="J132" s="12"/>
      <c r="K132" s="13" t="str">
        <f>IF(OR(G132="",C132="",E132="",F132="",I132=""),"",IF(AND((COUNTIFS(DISPONIBILIDADE!A:A,G132,DISPONIBILIDADE!C:C,C132,DISPONIBILIDADE!D:D,"&lt;="&amp;E132,DISPONIBILIDADE!E:E,"&gt;="&amp;F132,DISPONIBILIDADE!F:F,I132,DISPONIBILIDADE!G:G,"Sim")+COUNTIFS(DISPONIBILIDADE!A:A,G132,DISPONIBILIDADE!C:C,C132,DISPONIBILIDADE!D:D,"&lt;="&amp;E132,DISPONIBILIDADE!E:E,"&gt;="&amp;F132,DISPONIBILIDADE!F:F,"Ambas",DISPONIBILIDADE!G:G,"Sim"))&gt;0,COUNTIFS($G$3:$G$502,G132,$B$3:$B$502,B132,$E$3:$E$502,"&lt;"&amp;F132,$F$3:$F$502,"&gt;"&amp;E132,$A$3:$A$502,"&lt;&gt;"&amp;A132)=0),"Sim","Não"))</f>
        <v/>
      </c>
      <c r="L132" s="13" t="str">
        <f>IF(OR(G132="",D132=""),"",IF(COUNTIFS('RESTRIÇÕES'!A:A,G132,'RESTRIÇÕES'!C:C,D132,'RESTRIÇÕES'!F:F,"Sim")&gt;0,"Com restrição","Sem restrição"))</f>
        <v/>
      </c>
      <c r="M132" s="13" t="str">
        <f t="shared" si="2"/>
        <v/>
      </c>
    </row>
    <row r="133" ht="15.75" customHeight="1">
      <c r="A133" s="11" t="str">
        <f t="shared" si="3"/>
        <v/>
      </c>
      <c r="B133" s="28"/>
      <c r="C133" s="11" t="str">
        <f t="shared" si="4"/>
        <v/>
      </c>
      <c r="D133" s="10"/>
      <c r="E133" s="19"/>
      <c r="F133" s="19"/>
      <c r="G133" s="10"/>
      <c r="H133" s="11" t="str">
        <f>IF(G133="","",IFERROR(VLOOKUP(G133,PROFESSORES!A:B,2,FALSE),""))</f>
        <v/>
      </c>
      <c r="I133" s="10"/>
      <c r="J133" s="10"/>
      <c r="K133" s="11" t="str">
        <f>IF(OR(G133="",C133="",E133="",F133="",I133=""),"",IF(AND((COUNTIFS(DISPONIBILIDADE!A:A,G133,DISPONIBILIDADE!C:C,C133,DISPONIBILIDADE!D:D,"&lt;="&amp;E133,DISPONIBILIDADE!E:E,"&gt;="&amp;F133,DISPONIBILIDADE!F:F,I133,DISPONIBILIDADE!G:G,"Sim")+COUNTIFS(DISPONIBILIDADE!A:A,G133,DISPONIBILIDADE!C:C,C133,DISPONIBILIDADE!D:D,"&lt;="&amp;E133,DISPONIBILIDADE!E:E,"&gt;="&amp;F133,DISPONIBILIDADE!F:F,"Ambas",DISPONIBILIDADE!G:G,"Sim"))&gt;0,COUNTIFS($G$3:$G$502,G133,$B$3:$B$502,B133,$E$3:$E$502,"&lt;"&amp;F133,$F$3:$F$502,"&gt;"&amp;E133,$A$3:$A$502,"&lt;&gt;"&amp;A133)=0),"Sim","Não"))</f>
        <v/>
      </c>
      <c r="L133" s="11" t="str">
        <f>IF(OR(G133="",D133=""),"",IF(COUNTIFS('RESTRIÇÕES'!A:A,G133,'RESTRIÇÕES'!C:C,D133,'RESTRIÇÕES'!F:F,"Sim")&gt;0,"Com restrição","Sem restrição"))</f>
        <v/>
      </c>
      <c r="M133" s="11" t="str">
        <f t="shared" si="2"/>
        <v/>
      </c>
    </row>
    <row r="134" ht="15.75" customHeight="1">
      <c r="A134" s="13" t="str">
        <f t="shared" si="3"/>
        <v/>
      </c>
      <c r="B134" s="27"/>
      <c r="C134" s="13" t="str">
        <f t="shared" si="4"/>
        <v/>
      </c>
      <c r="D134" s="12"/>
      <c r="E134" s="21"/>
      <c r="F134" s="21"/>
      <c r="G134" s="12"/>
      <c r="H134" s="13" t="str">
        <f>IF(G134="","",IFERROR(VLOOKUP(G134,PROFESSORES!A:B,2,FALSE),""))</f>
        <v/>
      </c>
      <c r="I134" s="12"/>
      <c r="J134" s="12"/>
      <c r="K134" s="13" t="str">
        <f>IF(OR(G134="",C134="",E134="",F134="",I134=""),"",IF(AND((COUNTIFS(DISPONIBILIDADE!A:A,G134,DISPONIBILIDADE!C:C,C134,DISPONIBILIDADE!D:D,"&lt;="&amp;E134,DISPONIBILIDADE!E:E,"&gt;="&amp;F134,DISPONIBILIDADE!F:F,I134,DISPONIBILIDADE!G:G,"Sim")+COUNTIFS(DISPONIBILIDADE!A:A,G134,DISPONIBILIDADE!C:C,C134,DISPONIBILIDADE!D:D,"&lt;="&amp;E134,DISPONIBILIDADE!E:E,"&gt;="&amp;F134,DISPONIBILIDADE!F:F,"Ambas",DISPONIBILIDADE!G:G,"Sim"))&gt;0,COUNTIFS($G$3:$G$502,G134,$B$3:$B$502,B134,$E$3:$E$502,"&lt;"&amp;F134,$F$3:$F$502,"&gt;"&amp;E134,$A$3:$A$502,"&lt;&gt;"&amp;A134)=0),"Sim","Não"))</f>
        <v/>
      </c>
      <c r="L134" s="13" t="str">
        <f>IF(OR(G134="",D134=""),"",IF(COUNTIFS('RESTRIÇÕES'!A:A,G134,'RESTRIÇÕES'!C:C,D134,'RESTRIÇÕES'!F:F,"Sim")&gt;0,"Com restrição","Sem restrição"))</f>
        <v/>
      </c>
      <c r="M134" s="13" t="str">
        <f t="shared" si="2"/>
        <v/>
      </c>
    </row>
    <row r="135" ht="15.75" customHeight="1">
      <c r="A135" s="11" t="str">
        <f t="shared" si="3"/>
        <v/>
      </c>
      <c r="B135" s="28"/>
      <c r="C135" s="11" t="str">
        <f t="shared" si="4"/>
        <v/>
      </c>
      <c r="D135" s="10"/>
      <c r="E135" s="19"/>
      <c r="F135" s="19"/>
      <c r="G135" s="10"/>
      <c r="H135" s="11" t="str">
        <f>IF(G135="","",IFERROR(VLOOKUP(G135,PROFESSORES!A:B,2,FALSE),""))</f>
        <v/>
      </c>
      <c r="I135" s="10"/>
      <c r="J135" s="10"/>
      <c r="K135" s="11" t="str">
        <f>IF(OR(G135="",C135="",E135="",F135="",I135=""),"",IF(AND((COUNTIFS(DISPONIBILIDADE!A:A,G135,DISPONIBILIDADE!C:C,C135,DISPONIBILIDADE!D:D,"&lt;="&amp;E135,DISPONIBILIDADE!E:E,"&gt;="&amp;F135,DISPONIBILIDADE!F:F,I135,DISPONIBILIDADE!G:G,"Sim")+COUNTIFS(DISPONIBILIDADE!A:A,G135,DISPONIBILIDADE!C:C,C135,DISPONIBILIDADE!D:D,"&lt;="&amp;E135,DISPONIBILIDADE!E:E,"&gt;="&amp;F135,DISPONIBILIDADE!F:F,"Ambas",DISPONIBILIDADE!G:G,"Sim"))&gt;0,COUNTIFS($G$3:$G$502,G135,$B$3:$B$502,B135,$E$3:$E$502,"&lt;"&amp;F135,$F$3:$F$502,"&gt;"&amp;E135,$A$3:$A$502,"&lt;&gt;"&amp;A135)=0),"Sim","Não"))</f>
        <v/>
      </c>
      <c r="L135" s="11" t="str">
        <f>IF(OR(G135="",D135=""),"",IF(COUNTIFS('RESTRIÇÕES'!A:A,G135,'RESTRIÇÕES'!C:C,D135,'RESTRIÇÕES'!F:F,"Sim")&gt;0,"Com restrição","Sem restrição"))</f>
        <v/>
      </c>
      <c r="M135" s="11" t="str">
        <f t="shared" si="2"/>
        <v/>
      </c>
    </row>
    <row r="136" ht="15.75" customHeight="1">
      <c r="A136" s="13" t="str">
        <f t="shared" si="3"/>
        <v/>
      </c>
      <c r="B136" s="27"/>
      <c r="C136" s="13" t="str">
        <f t="shared" si="4"/>
        <v/>
      </c>
      <c r="D136" s="12"/>
      <c r="E136" s="21"/>
      <c r="F136" s="21"/>
      <c r="G136" s="12"/>
      <c r="H136" s="13" t="str">
        <f>IF(G136="","",IFERROR(VLOOKUP(G136,PROFESSORES!A:B,2,FALSE),""))</f>
        <v/>
      </c>
      <c r="I136" s="12"/>
      <c r="J136" s="12"/>
      <c r="K136" s="13" t="str">
        <f>IF(OR(G136="",C136="",E136="",F136="",I136=""),"",IF(AND((COUNTIFS(DISPONIBILIDADE!A:A,G136,DISPONIBILIDADE!C:C,C136,DISPONIBILIDADE!D:D,"&lt;="&amp;E136,DISPONIBILIDADE!E:E,"&gt;="&amp;F136,DISPONIBILIDADE!F:F,I136,DISPONIBILIDADE!G:G,"Sim")+COUNTIFS(DISPONIBILIDADE!A:A,G136,DISPONIBILIDADE!C:C,C136,DISPONIBILIDADE!D:D,"&lt;="&amp;E136,DISPONIBILIDADE!E:E,"&gt;="&amp;F136,DISPONIBILIDADE!F:F,"Ambas",DISPONIBILIDADE!G:G,"Sim"))&gt;0,COUNTIFS($G$3:$G$502,G136,$B$3:$B$502,B136,$E$3:$E$502,"&lt;"&amp;F136,$F$3:$F$502,"&gt;"&amp;E136,$A$3:$A$502,"&lt;&gt;"&amp;A136)=0),"Sim","Não"))</f>
        <v/>
      </c>
      <c r="L136" s="13" t="str">
        <f>IF(OR(G136="",D136=""),"",IF(COUNTIFS('RESTRIÇÕES'!A:A,G136,'RESTRIÇÕES'!C:C,D136,'RESTRIÇÕES'!F:F,"Sim")&gt;0,"Com restrição","Sem restrição"))</f>
        <v/>
      </c>
      <c r="M136" s="13" t="str">
        <f t="shared" si="2"/>
        <v/>
      </c>
    </row>
    <row r="137" ht="15.75" customHeight="1">
      <c r="A137" s="11" t="str">
        <f t="shared" si="3"/>
        <v/>
      </c>
      <c r="B137" s="28"/>
      <c r="C137" s="11" t="str">
        <f t="shared" si="4"/>
        <v/>
      </c>
      <c r="D137" s="10"/>
      <c r="E137" s="19"/>
      <c r="F137" s="19"/>
      <c r="G137" s="10"/>
      <c r="H137" s="11" t="str">
        <f>IF(G137="","",IFERROR(VLOOKUP(G137,PROFESSORES!A:B,2,FALSE),""))</f>
        <v/>
      </c>
      <c r="I137" s="10"/>
      <c r="J137" s="10"/>
      <c r="K137" s="11" t="str">
        <f>IF(OR(G137="",C137="",E137="",F137="",I137=""),"",IF(AND((COUNTIFS(DISPONIBILIDADE!A:A,G137,DISPONIBILIDADE!C:C,C137,DISPONIBILIDADE!D:D,"&lt;="&amp;E137,DISPONIBILIDADE!E:E,"&gt;="&amp;F137,DISPONIBILIDADE!F:F,I137,DISPONIBILIDADE!G:G,"Sim")+COUNTIFS(DISPONIBILIDADE!A:A,G137,DISPONIBILIDADE!C:C,C137,DISPONIBILIDADE!D:D,"&lt;="&amp;E137,DISPONIBILIDADE!E:E,"&gt;="&amp;F137,DISPONIBILIDADE!F:F,"Ambas",DISPONIBILIDADE!G:G,"Sim"))&gt;0,COUNTIFS($G$3:$G$502,G137,$B$3:$B$502,B137,$E$3:$E$502,"&lt;"&amp;F137,$F$3:$F$502,"&gt;"&amp;E137,$A$3:$A$502,"&lt;&gt;"&amp;A137)=0),"Sim","Não"))</f>
        <v/>
      </c>
      <c r="L137" s="11" t="str">
        <f>IF(OR(G137="",D137=""),"",IF(COUNTIFS('RESTRIÇÕES'!A:A,G137,'RESTRIÇÕES'!C:C,D137,'RESTRIÇÕES'!F:F,"Sim")&gt;0,"Com restrição","Sem restrição"))</f>
        <v/>
      </c>
      <c r="M137" s="11" t="str">
        <f t="shared" si="2"/>
        <v/>
      </c>
    </row>
    <row r="138" ht="15.75" customHeight="1">
      <c r="A138" s="13" t="str">
        <f t="shared" si="3"/>
        <v/>
      </c>
      <c r="B138" s="27"/>
      <c r="C138" s="13" t="str">
        <f t="shared" si="4"/>
        <v/>
      </c>
      <c r="D138" s="12"/>
      <c r="E138" s="21"/>
      <c r="F138" s="21"/>
      <c r="G138" s="12"/>
      <c r="H138" s="13" t="str">
        <f>IF(G138="","",IFERROR(VLOOKUP(G138,PROFESSORES!A:B,2,FALSE),""))</f>
        <v/>
      </c>
      <c r="I138" s="12"/>
      <c r="J138" s="12"/>
      <c r="K138" s="13" t="str">
        <f>IF(OR(G138="",C138="",E138="",F138="",I138=""),"",IF(AND((COUNTIFS(DISPONIBILIDADE!A:A,G138,DISPONIBILIDADE!C:C,C138,DISPONIBILIDADE!D:D,"&lt;="&amp;E138,DISPONIBILIDADE!E:E,"&gt;="&amp;F138,DISPONIBILIDADE!F:F,I138,DISPONIBILIDADE!G:G,"Sim")+COUNTIFS(DISPONIBILIDADE!A:A,G138,DISPONIBILIDADE!C:C,C138,DISPONIBILIDADE!D:D,"&lt;="&amp;E138,DISPONIBILIDADE!E:E,"&gt;="&amp;F138,DISPONIBILIDADE!F:F,"Ambas",DISPONIBILIDADE!G:G,"Sim"))&gt;0,COUNTIFS($G$3:$G$502,G138,$B$3:$B$502,B138,$E$3:$E$502,"&lt;"&amp;F138,$F$3:$F$502,"&gt;"&amp;E138,$A$3:$A$502,"&lt;&gt;"&amp;A138)=0),"Sim","Não"))</f>
        <v/>
      </c>
      <c r="L138" s="13" t="str">
        <f>IF(OR(G138="",D138=""),"",IF(COUNTIFS('RESTRIÇÕES'!A:A,G138,'RESTRIÇÕES'!C:C,D138,'RESTRIÇÕES'!F:F,"Sim")&gt;0,"Com restrição","Sem restrição"))</f>
        <v/>
      </c>
      <c r="M138" s="13" t="str">
        <f t="shared" si="2"/>
        <v/>
      </c>
    </row>
    <row r="139" ht="15.75" customHeight="1">
      <c r="A139" s="11" t="str">
        <f t="shared" si="3"/>
        <v/>
      </c>
      <c r="B139" s="28"/>
      <c r="C139" s="11" t="str">
        <f t="shared" si="4"/>
        <v/>
      </c>
      <c r="D139" s="10"/>
      <c r="E139" s="19"/>
      <c r="F139" s="19"/>
      <c r="G139" s="10"/>
      <c r="H139" s="11" t="str">
        <f>IF(G139="","",IFERROR(VLOOKUP(G139,PROFESSORES!A:B,2,FALSE),""))</f>
        <v/>
      </c>
      <c r="I139" s="10"/>
      <c r="J139" s="10"/>
      <c r="K139" s="11" t="str">
        <f>IF(OR(G139="",C139="",E139="",F139="",I139=""),"",IF(AND((COUNTIFS(DISPONIBILIDADE!A:A,G139,DISPONIBILIDADE!C:C,C139,DISPONIBILIDADE!D:D,"&lt;="&amp;E139,DISPONIBILIDADE!E:E,"&gt;="&amp;F139,DISPONIBILIDADE!F:F,I139,DISPONIBILIDADE!G:G,"Sim")+COUNTIFS(DISPONIBILIDADE!A:A,G139,DISPONIBILIDADE!C:C,C139,DISPONIBILIDADE!D:D,"&lt;="&amp;E139,DISPONIBILIDADE!E:E,"&gt;="&amp;F139,DISPONIBILIDADE!F:F,"Ambas",DISPONIBILIDADE!G:G,"Sim"))&gt;0,COUNTIFS($G$3:$G$502,G139,$B$3:$B$502,B139,$E$3:$E$502,"&lt;"&amp;F139,$F$3:$F$502,"&gt;"&amp;E139,$A$3:$A$502,"&lt;&gt;"&amp;A139)=0),"Sim","Não"))</f>
        <v/>
      </c>
      <c r="L139" s="11" t="str">
        <f>IF(OR(G139="",D139=""),"",IF(COUNTIFS('RESTRIÇÕES'!A:A,G139,'RESTRIÇÕES'!C:C,D139,'RESTRIÇÕES'!F:F,"Sim")&gt;0,"Com restrição","Sem restrição"))</f>
        <v/>
      </c>
      <c r="M139" s="11" t="str">
        <f t="shared" si="2"/>
        <v/>
      </c>
    </row>
    <row r="140" ht="15.75" customHeight="1">
      <c r="A140" s="13" t="str">
        <f t="shared" si="3"/>
        <v/>
      </c>
      <c r="B140" s="27"/>
      <c r="C140" s="13" t="str">
        <f t="shared" si="4"/>
        <v/>
      </c>
      <c r="D140" s="12"/>
      <c r="E140" s="21"/>
      <c r="F140" s="21"/>
      <c r="G140" s="12"/>
      <c r="H140" s="13" t="str">
        <f>IF(G140="","",IFERROR(VLOOKUP(G140,PROFESSORES!A:B,2,FALSE),""))</f>
        <v/>
      </c>
      <c r="I140" s="12"/>
      <c r="J140" s="12"/>
      <c r="K140" s="13" t="str">
        <f>IF(OR(G140="",C140="",E140="",F140="",I140=""),"",IF(AND((COUNTIFS(DISPONIBILIDADE!A:A,G140,DISPONIBILIDADE!C:C,C140,DISPONIBILIDADE!D:D,"&lt;="&amp;E140,DISPONIBILIDADE!E:E,"&gt;="&amp;F140,DISPONIBILIDADE!F:F,I140,DISPONIBILIDADE!G:G,"Sim")+COUNTIFS(DISPONIBILIDADE!A:A,G140,DISPONIBILIDADE!C:C,C140,DISPONIBILIDADE!D:D,"&lt;="&amp;E140,DISPONIBILIDADE!E:E,"&gt;="&amp;F140,DISPONIBILIDADE!F:F,"Ambas",DISPONIBILIDADE!G:G,"Sim"))&gt;0,COUNTIFS($G$3:$G$502,G140,$B$3:$B$502,B140,$E$3:$E$502,"&lt;"&amp;F140,$F$3:$F$502,"&gt;"&amp;E140,$A$3:$A$502,"&lt;&gt;"&amp;A140)=0),"Sim","Não"))</f>
        <v/>
      </c>
      <c r="L140" s="13" t="str">
        <f>IF(OR(G140="",D140=""),"",IF(COUNTIFS('RESTRIÇÕES'!A:A,G140,'RESTRIÇÕES'!C:C,D140,'RESTRIÇÕES'!F:F,"Sim")&gt;0,"Com restrição","Sem restrição"))</f>
        <v/>
      </c>
      <c r="M140" s="13" t="str">
        <f t="shared" si="2"/>
        <v/>
      </c>
    </row>
    <row r="141" ht="15.75" customHeight="1">
      <c r="A141" s="11" t="str">
        <f t="shared" si="3"/>
        <v/>
      </c>
      <c r="B141" s="28"/>
      <c r="C141" s="11" t="str">
        <f t="shared" si="4"/>
        <v/>
      </c>
      <c r="D141" s="10"/>
      <c r="E141" s="19"/>
      <c r="F141" s="19"/>
      <c r="G141" s="10"/>
      <c r="H141" s="11" t="str">
        <f>IF(G141="","",IFERROR(VLOOKUP(G141,PROFESSORES!A:B,2,FALSE),""))</f>
        <v/>
      </c>
      <c r="I141" s="10"/>
      <c r="J141" s="10"/>
      <c r="K141" s="11" t="str">
        <f>IF(OR(G141="",C141="",E141="",F141="",I141=""),"",IF(AND((COUNTIFS(DISPONIBILIDADE!A:A,G141,DISPONIBILIDADE!C:C,C141,DISPONIBILIDADE!D:D,"&lt;="&amp;E141,DISPONIBILIDADE!E:E,"&gt;="&amp;F141,DISPONIBILIDADE!F:F,I141,DISPONIBILIDADE!G:G,"Sim")+COUNTIFS(DISPONIBILIDADE!A:A,G141,DISPONIBILIDADE!C:C,C141,DISPONIBILIDADE!D:D,"&lt;="&amp;E141,DISPONIBILIDADE!E:E,"&gt;="&amp;F141,DISPONIBILIDADE!F:F,"Ambas",DISPONIBILIDADE!G:G,"Sim"))&gt;0,COUNTIFS($G$3:$G$502,G141,$B$3:$B$502,B141,$E$3:$E$502,"&lt;"&amp;F141,$F$3:$F$502,"&gt;"&amp;E141,$A$3:$A$502,"&lt;&gt;"&amp;A141)=0),"Sim","Não"))</f>
        <v/>
      </c>
      <c r="L141" s="11" t="str">
        <f>IF(OR(G141="",D141=""),"",IF(COUNTIFS('RESTRIÇÕES'!A:A,G141,'RESTRIÇÕES'!C:C,D141,'RESTRIÇÕES'!F:F,"Sim")&gt;0,"Com restrição","Sem restrição"))</f>
        <v/>
      </c>
      <c r="M141" s="11" t="str">
        <f t="shared" si="2"/>
        <v/>
      </c>
    </row>
    <row r="142" ht="15.75" customHeight="1">
      <c r="A142" s="13" t="str">
        <f t="shared" si="3"/>
        <v/>
      </c>
      <c r="B142" s="27"/>
      <c r="C142" s="13" t="str">
        <f t="shared" si="4"/>
        <v/>
      </c>
      <c r="D142" s="12"/>
      <c r="E142" s="21"/>
      <c r="F142" s="21"/>
      <c r="G142" s="12"/>
      <c r="H142" s="13" t="str">
        <f>IF(G142="","",IFERROR(VLOOKUP(G142,PROFESSORES!A:B,2,FALSE),""))</f>
        <v/>
      </c>
      <c r="I142" s="12"/>
      <c r="J142" s="12"/>
      <c r="K142" s="13" t="str">
        <f>IF(OR(G142="",C142="",E142="",F142="",I142=""),"",IF(AND((COUNTIFS(DISPONIBILIDADE!A:A,G142,DISPONIBILIDADE!C:C,C142,DISPONIBILIDADE!D:D,"&lt;="&amp;E142,DISPONIBILIDADE!E:E,"&gt;="&amp;F142,DISPONIBILIDADE!F:F,I142,DISPONIBILIDADE!G:G,"Sim")+COUNTIFS(DISPONIBILIDADE!A:A,G142,DISPONIBILIDADE!C:C,C142,DISPONIBILIDADE!D:D,"&lt;="&amp;E142,DISPONIBILIDADE!E:E,"&gt;="&amp;F142,DISPONIBILIDADE!F:F,"Ambas",DISPONIBILIDADE!G:G,"Sim"))&gt;0,COUNTIFS($G$3:$G$502,G142,$B$3:$B$502,B142,$E$3:$E$502,"&lt;"&amp;F142,$F$3:$F$502,"&gt;"&amp;E142,$A$3:$A$502,"&lt;&gt;"&amp;A142)=0),"Sim","Não"))</f>
        <v/>
      </c>
      <c r="L142" s="13" t="str">
        <f>IF(OR(G142="",D142=""),"",IF(COUNTIFS('RESTRIÇÕES'!A:A,G142,'RESTRIÇÕES'!C:C,D142,'RESTRIÇÕES'!F:F,"Sim")&gt;0,"Com restrição","Sem restrição"))</f>
        <v/>
      </c>
      <c r="M142" s="13" t="str">
        <f t="shared" si="2"/>
        <v/>
      </c>
    </row>
    <row r="143" ht="15.75" customHeight="1">
      <c r="A143" s="11" t="str">
        <f t="shared" si="3"/>
        <v/>
      </c>
      <c r="B143" s="28"/>
      <c r="C143" s="11" t="str">
        <f t="shared" si="4"/>
        <v/>
      </c>
      <c r="D143" s="10"/>
      <c r="E143" s="19"/>
      <c r="F143" s="19"/>
      <c r="G143" s="10"/>
      <c r="H143" s="11" t="str">
        <f>IF(G143="","",IFERROR(VLOOKUP(G143,PROFESSORES!A:B,2,FALSE),""))</f>
        <v/>
      </c>
      <c r="I143" s="10"/>
      <c r="J143" s="10"/>
      <c r="K143" s="11" t="str">
        <f>IF(OR(G143="",C143="",E143="",F143="",I143=""),"",IF(AND((COUNTIFS(DISPONIBILIDADE!A:A,G143,DISPONIBILIDADE!C:C,C143,DISPONIBILIDADE!D:D,"&lt;="&amp;E143,DISPONIBILIDADE!E:E,"&gt;="&amp;F143,DISPONIBILIDADE!F:F,I143,DISPONIBILIDADE!G:G,"Sim")+COUNTIFS(DISPONIBILIDADE!A:A,G143,DISPONIBILIDADE!C:C,C143,DISPONIBILIDADE!D:D,"&lt;="&amp;E143,DISPONIBILIDADE!E:E,"&gt;="&amp;F143,DISPONIBILIDADE!F:F,"Ambas",DISPONIBILIDADE!G:G,"Sim"))&gt;0,COUNTIFS($G$3:$G$502,G143,$B$3:$B$502,B143,$E$3:$E$502,"&lt;"&amp;F143,$F$3:$F$502,"&gt;"&amp;E143,$A$3:$A$502,"&lt;&gt;"&amp;A143)=0),"Sim","Não"))</f>
        <v/>
      </c>
      <c r="L143" s="11" t="str">
        <f>IF(OR(G143="",D143=""),"",IF(COUNTIFS('RESTRIÇÕES'!A:A,G143,'RESTRIÇÕES'!C:C,D143,'RESTRIÇÕES'!F:F,"Sim")&gt;0,"Com restrição","Sem restrição"))</f>
        <v/>
      </c>
      <c r="M143" s="11" t="str">
        <f t="shared" si="2"/>
        <v/>
      </c>
    </row>
    <row r="144" ht="15.75" customHeight="1">
      <c r="A144" s="13" t="str">
        <f t="shared" si="3"/>
        <v/>
      </c>
      <c r="B144" s="27"/>
      <c r="C144" s="13" t="str">
        <f t="shared" si="4"/>
        <v/>
      </c>
      <c r="D144" s="12"/>
      <c r="E144" s="21"/>
      <c r="F144" s="21"/>
      <c r="G144" s="12"/>
      <c r="H144" s="13" t="str">
        <f>IF(G144="","",IFERROR(VLOOKUP(G144,PROFESSORES!A:B,2,FALSE),""))</f>
        <v/>
      </c>
      <c r="I144" s="12"/>
      <c r="J144" s="12"/>
      <c r="K144" s="13" t="str">
        <f>IF(OR(G144="",C144="",E144="",F144="",I144=""),"",IF(AND((COUNTIFS(DISPONIBILIDADE!A:A,G144,DISPONIBILIDADE!C:C,C144,DISPONIBILIDADE!D:D,"&lt;="&amp;E144,DISPONIBILIDADE!E:E,"&gt;="&amp;F144,DISPONIBILIDADE!F:F,I144,DISPONIBILIDADE!G:G,"Sim")+COUNTIFS(DISPONIBILIDADE!A:A,G144,DISPONIBILIDADE!C:C,C144,DISPONIBILIDADE!D:D,"&lt;="&amp;E144,DISPONIBILIDADE!E:E,"&gt;="&amp;F144,DISPONIBILIDADE!F:F,"Ambas",DISPONIBILIDADE!G:G,"Sim"))&gt;0,COUNTIFS($G$3:$G$502,G144,$B$3:$B$502,B144,$E$3:$E$502,"&lt;"&amp;F144,$F$3:$F$502,"&gt;"&amp;E144,$A$3:$A$502,"&lt;&gt;"&amp;A144)=0),"Sim","Não"))</f>
        <v/>
      </c>
      <c r="L144" s="13" t="str">
        <f>IF(OR(G144="",D144=""),"",IF(COUNTIFS('RESTRIÇÕES'!A:A,G144,'RESTRIÇÕES'!C:C,D144,'RESTRIÇÕES'!F:F,"Sim")&gt;0,"Com restrição","Sem restrição"))</f>
        <v/>
      </c>
      <c r="M144" s="13" t="str">
        <f t="shared" si="2"/>
        <v/>
      </c>
    </row>
    <row r="145" ht="15.75" customHeight="1">
      <c r="A145" s="11" t="str">
        <f t="shared" si="3"/>
        <v/>
      </c>
      <c r="B145" s="28"/>
      <c r="C145" s="11" t="str">
        <f t="shared" si="4"/>
        <v/>
      </c>
      <c r="D145" s="10"/>
      <c r="E145" s="19"/>
      <c r="F145" s="19"/>
      <c r="G145" s="10"/>
      <c r="H145" s="11" t="str">
        <f>IF(G145="","",IFERROR(VLOOKUP(G145,PROFESSORES!A:B,2,FALSE),""))</f>
        <v/>
      </c>
      <c r="I145" s="10"/>
      <c r="J145" s="10"/>
      <c r="K145" s="11" t="str">
        <f>IF(OR(G145="",C145="",E145="",F145="",I145=""),"",IF(AND((COUNTIFS(DISPONIBILIDADE!A:A,G145,DISPONIBILIDADE!C:C,C145,DISPONIBILIDADE!D:D,"&lt;="&amp;E145,DISPONIBILIDADE!E:E,"&gt;="&amp;F145,DISPONIBILIDADE!F:F,I145,DISPONIBILIDADE!G:G,"Sim")+COUNTIFS(DISPONIBILIDADE!A:A,G145,DISPONIBILIDADE!C:C,C145,DISPONIBILIDADE!D:D,"&lt;="&amp;E145,DISPONIBILIDADE!E:E,"&gt;="&amp;F145,DISPONIBILIDADE!F:F,"Ambas",DISPONIBILIDADE!G:G,"Sim"))&gt;0,COUNTIFS($G$3:$G$502,G145,$B$3:$B$502,B145,$E$3:$E$502,"&lt;"&amp;F145,$F$3:$F$502,"&gt;"&amp;E145,$A$3:$A$502,"&lt;&gt;"&amp;A145)=0),"Sim","Não"))</f>
        <v/>
      </c>
      <c r="L145" s="11" t="str">
        <f>IF(OR(G145="",D145=""),"",IF(COUNTIFS('RESTRIÇÕES'!A:A,G145,'RESTRIÇÕES'!C:C,D145,'RESTRIÇÕES'!F:F,"Sim")&gt;0,"Com restrição","Sem restrição"))</f>
        <v/>
      </c>
      <c r="M145" s="11" t="str">
        <f t="shared" si="2"/>
        <v/>
      </c>
    </row>
    <row r="146" ht="15.75" customHeight="1">
      <c r="A146" s="13" t="str">
        <f t="shared" si="3"/>
        <v/>
      </c>
      <c r="B146" s="27"/>
      <c r="C146" s="13" t="str">
        <f t="shared" si="4"/>
        <v/>
      </c>
      <c r="D146" s="12"/>
      <c r="E146" s="21"/>
      <c r="F146" s="21"/>
      <c r="G146" s="12"/>
      <c r="H146" s="13" t="str">
        <f>IF(G146="","",IFERROR(VLOOKUP(G146,PROFESSORES!A:B,2,FALSE),""))</f>
        <v/>
      </c>
      <c r="I146" s="12"/>
      <c r="J146" s="12"/>
      <c r="K146" s="13" t="str">
        <f>IF(OR(G146="",C146="",E146="",F146="",I146=""),"",IF(AND((COUNTIFS(DISPONIBILIDADE!A:A,G146,DISPONIBILIDADE!C:C,C146,DISPONIBILIDADE!D:D,"&lt;="&amp;E146,DISPONIBILIDADE!E:E,"&gt;="&amp;F146,DISPONIBILIDADE!F:F,I146,DISPONIBILIDADE!G:G,"Sim")+COUNTIFS(DISPONIBILIDADE!A:A,G146,DISPONIBILIDADE!C:C,C146,DISPONIBILIDADE!D:D,"&lt;="&amp;E146,DISPONIBILIDADE!E:E,"&gt;="&amp;F146,DISPONIBILIDADE!F:F,"Ambas",DISPONIBILIDADE!G:G,"Sim"))&gt;0,COUNTIFS($G$3:$G$502,G146,$B$3:$B$502,B146,$E$3:$E$502,"&lt;"&amp;F146,$F$3:$F$502,"&gt;"&amp;E146,$A$3:$A$502,"&lt;&gt;"&amp;A146)=0),"Sim","Não"))</f>
        <v/>
      </c>
      <c r="L146" s="13" t="str">
        <f>IF(OR(G146="",D146=""),"",IF(COUNTIFS('RESTRIÇÕES'!A:A,G146,'RESTRIÇÕES'!C:C,D146,'RESTRIÇÕES'!F:F,"Sim")&gt;0,"Com restrição","Sem restrição"))</f>
        <v/>
      </c>
      <c r="M146" s="13" t="str">
        <f t="shared" si="2"/>
        <v/>
      </c>
    </row>
    <row r="147" ht="15.75" customHeight="1">
      <c r="A147" s="11" t="str">
        <f t="shared" si="3"/>
        <v/>
      </c>
      <c r="B147" s="28"/>
      <c r="C147" s="11" t="str">
        <f t="shared" si="4"/>
        <v/>
      </c>
      <c r="D147" s="10"/>
      <c r="E147" s="19"/>
      <c r="F147" s="19"/>
      <c r="G147" s="10"/>
      <c r="H147" s="11" t="str">
        <f>IF(G147="","",IFERROR(VLOOKUP(G147,PROFESSORES!A:B,2,FALSE),""))</f>
        <v/>
      </c>
      <c r="I147" s="10"/>
      <c r="J147" s="10"/>
      <c r="K147" s="11" t="str">
        <f>IF(OR(G147="",C147="",E147="",F147="",I147=""),"",IF(AND((COUNTIFS(DISPONIBILIDADE!A:A,G147,DISPONIBILIDADE!C:C,C147,DISPONIBILIDADE!D:D,"&lt;="&amp;E147,DISPONIBILIDADE!E:E,"&gt;="&amp;F147,DISPONIBILIDADE!F:F,I147,DISPONIBILIDADE!G:G,"Sim")+COUNTIFS(DISPONIBILIDADE!A:A,G147,DISPONIBILIDADE!C:C,C147,DISPONIBILIDADE!D:D,"&lt;="&amp;E147,DISPONIBILIDADE!E:E,"&gt;="&amp;F147,DISPONIBILIDADE!F:F,"Ambas",DISPONIBILIDADE!G:G,"Sim"))&gt;0,COUNTIFS($G$3:$G$502,G147,$B$3:$B$502,B147,$E$3:$E$502,"&lt;"&amp;F147,$F$3:$F$502,"&gt;"&amp;E147,$A$3:$A$502,"&lt;&gt;"&amp;A147)=0),"Sim","Não"))</f>
        <v/>
      </c>
      <c r="L147" s="11" t="str">
        <f>IF(OR(G147="",D147=""),"",IF(COUNTIFS('RESTRIÇÕES'!A:A,G147,'RESTRIÇÕES'!C:C,D147,'RESTRIÇÕES'!F:F,"Sim")&gt;0,"Com restrição","Sem restrição"))</f>
        <v/>
      </c>
      <c r="M147" s="11" t="str">
        <f t="shared" si="2"/>
        <v/>
      </c>
    </row>
    <row r="148" ht="15.75" customHeight="1">
      <c r="A148" s="13" t="str">
        <f t="shared" si="3"/>
        <v/>
      </c>
      <c r="B148" s="27"/>
      <c r="C148" s="13" t="str">
        <f t="shared" si="4"/>
        <v/>
      </c>
      <c r="D148" s="12"/>
      <c r="E148" s="21"/>
      <c r="F148" s="21"/>
      <c r="G148" s="12"/>
      <c r="H148" s="13" t="str">
        <f>IF(G148="","",IFERROR(VLOOKUP(G148,PROFESSORES!A:B,2,FALSE),""))</f>
        <v/>
      </c>
      <c r="I148" s="12"/>
      <c r="J148" s="12"/>
      <c r="K148" s="13" t="str">
        <f>IF(OR(G148="",C148="",E148="",F148="",I148=""),"",IF(AND((COUNTIFS(DISPONIBILIDADE!A:A,G148,DISPONIBILIDADE!C:C,C148,DISPONIBILIDADE!D:D,"&lt;="&amp;E148,DISPONIBILIDADE!E:E,"&gt;="&amp;F148,DISPONIBILIDADE!F:F,I148,DISPONIBILIDADE!G:G,"Sim")+COUNTIFS(DISPONIBILIDADE!A:A,G148,DISPONIBILIDADE!C:C,C148,DISPONIBILIDADE!D:D,"&lt;="&amp;E148,DISPONIBILIDADE!E:E,"&gt;="&amp;F148,DISPONIBILIDADE!F:F,"Ambas",DISPONIBILIDADE!G:G,"Sim"))&gt;0,COUNTIFS($G$3:$G$502,G148,$B$3:$B$502,B148,$E$3:$E$502,"&lt;"&amp;F148,$F$3:$F$502,"&gt;"&amp;E148,$A$3:$A$502,"&lt;&gt;"&amp;A148)=0),"Sim","Não"))</f>
        <v/>
      </c>
      <c r="L148" s="13" t="str">
        <f>IF(OR(G148="",D148=""),"",IF(COUNTIFS('RESTRIÇÕES'!A:A,G148,'RESTRIÇÕES'!C:C,D148,'RESTRIÇÕES'!F:F,"Sim")&gt;0,"Com restrição","Sem restrição"))</f>
        <v/>
      </c>
      <c r="M148" s="13" t="str">
        <f t="shared" si="2"/>
        <v/>
      </c>
    </row>
    <row r="149" ht="15.75" customHeight="1">
      <c r="A149" s="11" t="str">
        <f t="shared" si="3"/>
        <v/>
      </c>
      <c r="B149" s="28"/>
      <c r="C149" s="11" t="str">
        <f t="shared" si="4"/>
        <v/>
      </c>
      <c r="D149" s="10"/>
      <c r="E149" s="19"/>
      <c r="F149" s="19"/>
      <c r="G149" s="10"/>
      <c r="H149" s="11" t="str">
        <f>IF(G149="","",IFERROR(VLOOKUP(G149,PROFESSORES!A:B,2,FALSE),""))</f>
        <v/>
      </c>
      <c r="I149" s="10"/>
      <c r="J149" s="10"/>
      <c r="K149" s="11" t="str">
        <f>IF(OR(G149="",C149="",E149="",F149="",I149=""),"",IF(AND((COUNTIFS(DISPONIBILIDADE!A:A,G149,DISPONIBILIDADE!C:C,C149,DISPONIBILIDADE!D:D,"&lt;="&amp;E149,DISPONIBILIDADE!E:E,"&gt;="&amp;F149,DISPONIBILIDADE!F:F,I149,DISPONIBILIDADE!G:G,"Sim")+COUNTIFS(DISPONIBILIDADE!A:A,G149,DISPONIBILIDADE!C:C,C149,DISPONIBILIDADE!D:D,"&lt;="&amp;E149,DISPONIBILIDADE!E:E,"&gt;="&amp;F149,DISPONIBILIDADE!F:F,"Ambas",DISPONIBILIDADE!G:G,"Sim"))&gt;0,COUNTIFS($G$3:$G$502,G149,$B$3:$B$502,B149,$E$3:$E$502,"&lt;"&amp;F149,$F$3:$F$502,"&gt;"&amp;E149,$A$3:$A$502,"&lt;&gt;"&amp;A149)=0),"Sim","Não"))</f>
        <v/>
      </c>
      <c r="L149" s="11" t="str">
        <f>IF(OR(G149="",D149=""),"",IF(COUNTIFS('RESTRIÇÕES'!A:A,G149,'RESTRIÇÕES'!C:C,D149,'RESTRIÇÕES'!F:F,"Sim")&gt;0,"Com restrição","Sem restrição"))</f>
        <v/>
      </c>
      <c r="M149" s="11" t="str">
        <f t="shared" si="2"/>
        <v/>
      </c>
    </row>
    <row r="150" ht="15.75" customHeight="1">
      <c r="A150" s="13" t="str">
        <f t="shared" si="3"/>
        <v/>
      </c>
      <c r="B150" s="27"/>
      <c r="C150" s="13" t="str">
        <f t="shared" si="4"/>
        <v/>
      </c>
      <c r="D150" s="12"/>
      <c r="E150" s="21"/>
      <c r="F150" s="21"/>
      <c r="G150" s="12"/>
      <c r="H150" s="13" t="str">
        <f>IF(G150="","",IFERROR(VLOOKUP(G150,PROFESSORES!A:B,2,FALSE),""))</f>
        <v/>
      </c>
      <c r="I150" s="12"/>
      <c r="J150" s="12"/>
      <c r="K150" s="13" t="str">
        <f>IF(OR(G150="",C150="",E150="",F150="",I150=""),"",IF(AND((COUNTIFS(DISPONIBILIDADE!A:A,G150,DISPONIBILIDADE!C:C,C150,DISPONIBILIDADE!D:D,"&lt;="&amp;E150,DISPONIBILIDADE!E:E,"&gt;="&amp;F150,DISPONIBILIDADE!F:F,I150,DISPONIBILIDADE!G:G,"Sim")+COUNTIFS(DISPONIBILIDADE!A:A,G150,DISPONIBILIDADE!C:C,C150,DISPONIBILIDADE!D:D,"&lt;="&amp;E150,DISPONIBILIDADE!E:E,"&gt;="&amp;F150,DISPONIBILIDADE!F:F,"Ambas",DISPONIBILIDADE!G:G,"Sim"))&gt;0,COUNTIFS($G$3:$G$502,G150,$B$3:$B$502,B150,$E$3:$E$502,"&lt;"&amp;F150,$F$3:$F$502,"&gt;"&amp;E150,$A$3:$A$502,"&lt;&gt;"&amp;A150)=0),"Sim","Não"))</f>
        <v/>
      </c>
      <c r="L150" s="13" t="str">
        <f>IF(OR(G150="",D150=""),"",IF(COUNTIFS('RESTRIÇÕES'!A:A,G150,'RESTRIÇÕES'!C:C,D150,'RESTRIÇÕES'!F:F,"Sim")&gt;0,"Com restrição","Sem restrição"))</f>
        <v/>
      </c>
      <c r="M150" s="13" t="str">
        <f t="shared" si="2"/>
        <v/>
      </c>
    </row>
    <row r="151" ht="15.75" customHeight="1">
      <c r="A151" s="11" t="str">
        <f t="shared" si="3"/>
        <v/>
      </c>
      <c r="B151" s="28"/>
      <c r="C151" s="11" t="str">
        <f t="shared" si="4"/>
        <v/>
      </c>
      <c r="D151" s="10"/>
      <c r="E151" s="19"/>
      <c r="F151" s="19"/>
      <c r="G151" s="10"/>
      <c r="H151" s="11" t="str">
        <f>IF(G151="","",IFERROR(VLOOKUP(G151,PROFESSORES!A:B,2,FALSE),""))</f>
        <v/>
      </c>
      <c r="I151" s="10"/>
      <c r="J151" s="10"/>
      <c r="K151" s="11" t="str">
        <f>IF(OR(G151="",C151="",E151="",F151="",I151=""),"",IF(AND((COUNTIFS(DISPONIBILIDADE!A:A,G151,DISPONIBILIDADE!C:C,C151,DISPONIBILIDADE!D:D,"&lt;="&amp;E151,DISPONIBILIDADE!E:E,"&gt;="&amp;F151,DISPONIBILIDADE!F:F,I151,DISPONIBILIDADE!G:G,"Sim")+COUNTIFS(DISPONIBILIDADE!A:A,G151,DISPONIBILIDADE!C:C,C151,DISPONIBILIDADE!D:D,"&lt;="&amp;E151,DISPONIBILIDADE!E:E,"&gt;="&amp;F151,DISPONIBILIDADE!F:F,"Ambas",DISPONIBILIDADE!G:G,"Sim"))&gt;0,COUNTIFS($G$3:$G$502,G151,$B$3:$B$502,B151,$E$3:$E$502,"&lt;"&amp;F151,$F$3:$F$502,"&gt;"&amp;E151,$A$3:$A$502,"&lt;&gt;"&amp;A151)=0),"Sim","Não"))</f>
        <v/>
      </c>
      <c r="L151" s="11" t="str">
        <f>IF(OR(G151="",D151=""),"",IF(COUNTIFS('RESTRIÇÕES'!A:A,G151,'RESTRIÇÕES'!C:C,D151,'RESTRIÇÕES'!F:F,"Sim")&gt;0,"Com restrição","Sem restrição"))</f>
        <v/>
      </c>
      <c r="M151" s="11" t="str">
        <f t="shared" si="2"/>
        <v/>
      </c>
    </row>
    <row r="152" ht="15.75" customHeight="1">
      <c r="A152" s="13" t="str">
        <f t="shared" si="3"/>
        <v/>
      </c>
      <c r="B152" s="27"/>
      <c r="C152" s="13" t="str">
        <f t="shared" si="4"/>
        <v/>
      </c>
      <c r="D152" s="12"/>
      <c r="E152" s="21"/>
      <c r="F152" s="21"/>
      <c r="G152" s="12"/>
      <c r="H152" s="13" t="str">
        <f>IF(G152="","",IFERROR(VLOOKUP(G152,PROFESSORES!A:B,2,FALSE),""))</f>
        <v/>
      </c>
      <c r="I152" s="12"/>
      <c r="J152" s="12"/>
      <c r="K152" s="13" t="str">
        <f>IF(OR(G152="",C152="",E152="",F152="",I152=""),"",IF(AND((COUNTIFS(DISPONIBILIDADE!A:A,G152,DISPONIBILIDADE!C:C,C152,DISPONIBILIDADE!D:D,"&lt;="&amp;E152,DISPONIBILIDADE!E:E,"&gt;="&amp;F152,DISPONIBILIDADE!F:F,I152,DISPONIBILIDADE!G:G,"Sim")+COUNTIFS(DISPONIBILIDADE!A:A,G152,DISPONIBILIDADE!C:C,C152,DISPONIBILIDADE!D:D,"&lt;="&amp;E152,DISPONIBILIDADE!E:E,"&gt;="&amp;F152,DISPONIBILIDADE!F:F,"Ambas",DISPONIBILIDADE!G:G,"Sim"))&gt;0,COUNTIFS($G$3:$G$502,G152,$B$3:$B$502,B152,$E$3:$E$502,"&lt;"&amp;F152,$F$3:$F$502,"&gt;"&amp;E152,$A$3:$A$502,"&lt;&gt;"&amp;A152)=0),"Sim","Não"))</f>
        <v/>
      </c>
      <c r="L152" s="13" t="str">
        <f>IF(OR(G152="",D152=""),"",IF(COUNTIFS('RESTRIÇÕES'!A:A,G152,'RESTRIÇÕES'!C:C,D152,'RESTRIÇÕES'!F:F,"Sim")&gt;0,"Com restrição","Sem restrição"))</f>
        <v/>
      </c>
      <c r="M152" s="13" t="str">
        <f t="shared" si="2"/>
        <v/>
      </c>
    </row>
    <row r="153" ht="15.75" customHeight="1">
      <c r="A153" s="11" t="str">
        <f t="shared" si="3"/>
        <v/>
      </c>
      <c r="B153" s="28"/>
      <c r="C153" s="11" t="str">
        <f t="shared" si="4"/>
        <v/>
      </c>
      <c r="D153" s="10"/>
      <c r="E153" s="19"/>
      <c r="F153" s="19"/>
      <c r="G153" s="10"/>
      <c r="H153" s="11" t="str">
        <f>IF(G153="","",IFERROR(VLOOKUP(G153,PROFESSORES!A:B,2,FALSE),""))</f>
        <v/>
      </c>
      <c r="I153" s="10"/>
      <c r="J153" s="10"/>
      <c r="K153" s="11" t="str">
        <f>IF(OR(G153="",C153="",E153="",F153="",I153=""),"",IF(AND((COUNTIFS(DISPONIBILIDADE!A:A,G153,DISPONIBILIDADE!C:C,C153,DISPONIBILIDADE!D:D,"&lt;="&amp;E153,DISPONIBILIDADE!E:E,"&gt;="&amp;F153,DISPONIBILIDADE!F:F,I153,DISPONIBILIDADE!G:G,"Sim")+COUNTIFS(DISPONIBILIDADE!A:A,G153,DISPONIBILIDADE!C:C,C153,DISPONIBILIDADE!D:D,"&lt;="&amp;E153,DISPONIBILIDADE!E:E,"&gt;="&amp;F153,DISPONIBILIDADE!F:F,"Ambas",DISPONIBILIDADE!G:G,"Sim"))&gt;0,COUNTIFS($G$3:$G$502,G153,$B$3:$B$502,B153,$E$3:$E$502,"&lt;"&amp;F153,$F$3:$F$502,"&gt;"&amp;E153,$A$3:$A$502,"&lt;&gt;"&amp;A153)=0),"Sim","Não"))</f>
        <v/>
      </c>
      <c r="L153" s="11" t="str">
        <f>IF(OR(G153="",D153=""),"",IF(COUNTIFS('RESTRIÇÕES'!A:A,G153,'RESTRIÇÕES'!C:C,D153,'RESTRIÇÕES'!F:F,"Sim")&gt;0,"Com restrição","Sem restrição"))</f>
        <v/>
      </c>
      <c r="M153" s="11" t="str">
        <f t="shared" si="2"/>
        <v/>
      </c>
    </row>
    <row r="154" ht="15.75" customHeight="1">
      <c r="A154" s="13" t="str">
        <f t="shared" si="3"/>
        <v/>
      </c>
      <c r="B154" s="27"/>
      <c r="C154" s="13" t="str">
        <f t="shared" si="4"/>
        <v/>
      </c>
      <c r="D154" s="12"/>
      <c r="E154" s="21"/>
      <c r="F154" s="21"/>
      <c r="G154" s="12"/>
      <c r="H154" s="13" t="str">
        <f>IF(G154="","",IFERROR(VLOOKUP(G154,PROFESSORES!A:B,2,FALSE),""))</f>
        <v/>
      </c>
      <c r="I154" s="12"/>
      <c r="J154" s="12"/>
      <c r="K154" s="13" t="str">
        <f>IF(OR(G154="",C154="",E154="",F154="",I154=""),"",IF(AND((COUNTIFS(DISPONIBILIDADE!A:A,G154,DISPONIBILIDADE!C:C,C154,DISPONIBILIDADE!D:D,"&lt;="&amp;E154,DISPONIBILIDADE!E:E,"&gt;="&amp;F154,DISPONIBILIDADE!F:F,I154,DISPONIBILIDADE!G:G,"Sim")+COUNTIFS(DISPONIBILIDADE!A:A,G154,DISPONIBILIDADE!C:C,C154,DISPONIBILIDADE!D:D,"&lt;="&amp;E154,DISPONIBILIDADE!E:E,"&gt;="&amp;F154,DISPONIBILIDADE!F:F,"Ambas",DISPONIBILIDADE!G:G,"Sim"))&gt;0,COUNTIFS($G$3:$G$502,G154,$B$3:$B$502,B154,$E$3:$E$502,"&lt;"&amp;F154,$F$3:$F$502,"&gt;"&amp;E154,$A$3:$A$502,"&lt;&gt;"&amp;A154)=0),"Sim","Não"))</f>
        <v/>
      </c>
      <c r="L154" s="13" t="str">
        <f>IF(OR(G154="",D154=""),"",IF(COUNTIFS('RESTRIÇÕES'!A:A,G154,'RESTRIÇÕES'!C:C,D154,'RESTRIÇÕES'!F:F,"Sim")&gt;0,"Com restrição","Sem restrição"))</f>
        <v/>
      </c>
      <c r="M154" s="13" t="str">
        <f t="shared" si="2"/>
        <v/>
      </c>
    </row>
    <row r="155" ht="15.75" customHeight="1">
      <c r="A155" s="11" t="str">
        <f t="shared" si="3"/>
        <v/>
      </c>
      <c r="B155" s="28"/>
      <c r="C155" s="11" t="str">
        <f t="shared" si="4"/>
        <v/>
      </c>
      <c r="D155" s="10"/>
      <c r="E155" s="19"/>
      <c r="F155" s="19"/>
      <c r="G155" s="10"/>
      <c r="H155" s="11" t="str">
        <f>IF(G155="","",IFERROR(VLOOKUP(G155,PROFESSORES!A:B,2,FALSE),""))</f>
        <v/>
      </c>
      <c r="I155" s="10"/>
      <c r="J155" s="10"/>
      <c r="K155" s="11" t="str">
        <f>IF(OR(G155="",C155="",E155="",F155="",I155=""),"",IF(AND((COUNTIFS(DISPONIBILIDADE!A:A,G155,DISPONIBILIDADE!C:C,C155,DISPONIBILIDADE!D:D,"&lt;="&amp;E155,DISPONIBILIDADE!E:E,"&gt;="&amp;F155,DISPONIBILIDADE!F:F,I155,DISPONIBILIDADE!G:G,"Sim")+COUNTIFS(DISPONIBILIDADE!A:A,G155,DISPONIBILIDADE!C:C,C155,DISPONIBILIDADE!D:D,"&lt;="&amp;E155,DISPONIBILIDADE!E:E,"&gt;="&amp;F155,DISPONIBILIDADE!F:F,"Ambas",DISPONIBILIDADE!G:G,"Sim"))&gt;0,COUNTIFS($G$3:$G$502,G155,$B$3:$B$502,B155,$E$3:$E$502,"&lt;"&amp;F155,$F$3:$F$502,"&gt;"&amp;E155,$A$3:$A$502,"&lt;&gt;"&amp;A155)=0),"Sim","Não"))</f>
        <v/>
      </c>
      <c r="L155" s="11" t="str">
        <f>IF(OR(G155="",D155=""),"",IF(COUNTIFS('RESTRIÇÕES'!A:A,G155,'RESTRIÇÕES'!C:C,D155,'RESTRIÇÕES'!F:F,"Sim")&gt;0,"Com restrição","Sem restrição"))</f>
        <v/>
      </c>
      <c r="M155" s="11" t="str">
        <f t="shared" si="2"/>
        <v/>
      </c>
    </row>
    <row r="156" ht="15.75" customHeight="1">
      <c r="A156" s="13" t="str">
        <f t="shared" si="3"/>
        <v/>
      </c>
      <c r="B156" s="27"/>
      <c r="C156" s="13" t="str">
        <f t="shared" si="4"/>
        <v/>
      </c>
      <c r="D156" s="12"/>
      <c r="E156" s="21"/>
      <c r="F156" s="21"/>
      <c r="G156" s="12"/>
      <c r="H156" s="13" t="str">
        <f>IF(G156="","",IFERROR(VLOOKUP(G156,PROFESSORES!A:B,2,FALSE),""))</f>
        <v/>
      </c>
      <c r="I156" s="12"/>
      <c r="J156" s="12"/>
      <c r="K156" s="13" t="str">
        <f>IF(OR(G156="",C156="",E156="",F156="",I156=""),"",IF(AND((COUNTIFS(DISPONIBILIDADE!A:A,G156,DISPONIBILIDADE!C:C,C156,DISPONIBILIDADE!D:D,"&lt;="&amp;E156,DISPONIBILIDADE!E:E,"&gt;="&amp;F156,DISPONIBILIDADE!F:F,I156,DISPONIBILIDADE!G:G,"Sim")+COUNTIFS(DISPONIBILIDADE!A:A,G156,DISPONIBILIDADE!C:C,C156,DISPONIBILIDADE!D:D,"&lt;="&amp;E156,DISPONIBILIDADE!E:E,"&gt;="&amp;F156,DISPONIBILIDADE!F:F,"Ambas",DISPONIBILIDADE!G:G,"Sim"))&gt;0,COUNTIFS($G$3:$G$502,G156,$B$3:$B$502,B156,$E$3:$E$502,"&lt;"&amp;F156,$F$3:$F$502,"&gt;"&amp;E156,$A$3:$A$502,"&lt;&gt;"&amp;A156)=0),"Sim","Não"))</f>
        <v/>
      </c>
      <c r="L156" s="13" t="str">
        <f>IF(OR(G156="",D156=""),"",IF(COUNTIFS('RESTRIÇÕES'!A:A,G156,'RESTRIÇÕES'!C:C,D156,'RESTRIÇÕES'!F:F,"Sim")&gt;0,"Com restrição","Sem restrição"))</f>
        <v/>
      </c>
      <c r="M156" s="13" t="str">
        <f t="shared" si="2"/>
        <v/>
      </c>
    </row>
    <row r="157" ht="15.75" customHeight="1">
      <c r="A157" s="11" t="str">
        <f t="shared" si="3"/>
        <v/>
      </c>
      <c r="B157" s="28"/>
      <c r="C157" s="11" t="str">
        <f t="shared" si="4"/>
        <v/>
      </c>
      <c r="D157" s="10"/>
      <c r="E157" s="19"/>
      <c r="F157" s="19"/>
      <c r="G157" s="10"/>
      <c r="H157" s="11" t="str">
        <f>IF(G157="","",IFERROR(VLOOKUP(G157,PROFESSORES!A:B,2,FALSE),""))</f>
        <v/>
      </c>
      <c r="I157" s="10"/>
      <c r="J157" s="10"/>
      <c r="K157" s="11" t="str">
        <f>IF(OR(G157="",C157="",E157="",F157="",I157=""),"",IF(AND((COUNTIFS(DISPONIBILIDADE!A:A,G157,DISPONIBILIDADE!C:C,C157,DISPONIBILIDADE!D:D,"&lt;="&amp;E157,DISPONIBILIDADE!E:E,"&gt;="&amp;F157,DISPONIBILIDADE!F:F,I157,DISPONIBILIDADE!G:G,"Sim")+COUNTIFS(DISPONIBILIDADE!A:A,G157,DISPONIBILIDADE!C:C,C157,DISPONIBILIDADE!D:D,"&lt;="&amp;E157,DISPONIBILIDADE!E:E,"&gt;="&amp;F157,DISPONIBILIDADE!F:F,"Ambas",DISPONIBILIDADE!G:G,"Sim"))&gt;0,COUNTIFS($G$3:$G$502,G157,$B$3:$B$502,B157,$E$3:$E$502,"&lt;"&amp;F157,$F$3:$F$502,"&gt;"&amp;E157,$A$3:$A$502,"&lt;&gt;"&amp;A157)=0),"Sim","Não"))</f>
        <v/>
      </c>
      <c r="L157" s="11" t="str">
        <f>IF(OR(G157="",D157=""),"",IF(COUNTIFS('RESTRIÇÕES'!A:A,G157,'RESTRIÇÕES'!C:C,D157,'RESTRIÇÕES'!F:F,"Sim")&gt;0,"Com restrição","Sem restrição"))</f>
        <v/>
      </c>
      <c r="M157" s="11" t="str">
        <f t="shared" si="2"/>
        <v/>
      </c>
    </row>
    <row r="158" ht="15.75" customHeight="1">
      <c r="A158" s="13" t="str">
        <f t="shared" si="3"/>
        <v/>
      </c>
      <c r="B158" s="27"/>
      <c r="C158" s="13" t="str">
        <f t="shared" si="4"/>
        <v/>
      </c>
      <c r="D158" s="12"/>
      <c r="E158" s="21"/>
      <c r="F158" s="21"/>
      <c r="G158" s="12"/>
      <c r="H158" s="13" t="str">
        <f>IF(G158="","",IFERROR(VLOOKUP(G158,PROFESSORES!A:B,2,FALSE),""))</f>
        <v/>
      </c>
      <c r="I158" s="12"/>
      <c r="J158" s="12"/>
      <c r="K158" s="13" t="str">
        <f>IF(OR(G158="",C158="",E158="",F158="",I158=""),"",IF(AND((COUNTIFS(DISPONIBILIDADE!A:A,G158,DISPONIBILIDADE!C:C,C158,DISPONIBILIDADE!D:D,"&lt;="&amp;E158,DISPONIBILIDADE!E:E,"&gt;="&amp;F158,DISPONIBILIDADE!F:F,I158,DISPONIBILIDADE!G:G,"Sim")+COUNTIFS(DISPONIBILIDADE!A:A,G158,DISPONIBILIDADE!C:C,C158,DISPONIBILIDADE!D:D,"&lt;="&amp;E158,DISPONIBILIDADE!E:E,"&gt;="&amp;F158,DISPONIBILIDADE!F:F,"Ambas",DISPONIBILIDADE!G:G,"Sim"))&gt;0,COUNTIFS($G$3:$G$502,G158,$B$3:$B$502,B158,$E$3:$E$502,"&lt;"&amp;F158,$F$3:$F$502,"&gt;"&amp;E158,$A$3:$A$502,"&lt;&gt;"&amp;A158)=0),"Sim","Não"))</f>
        <v/>
      </c>
      <c r="L158" s="13" t="str">
        <f>IF(OR(G158="",D158=""),"",IF(COUNTIFS('RESTRIÇÕES'!A:A,G158,'RESTRIÇÕES'!C:C,D158,'RESTRIÇÕES'!F:F,"Sim")&gt;0,"Com restrição","Sem restrição"))</f>
        <v/>
      </c>
      <c r="M158" s="13" t="str">
        <f t="shared" si="2"/>
        <v/>
      </c>
    </row>
    <row r="159" ht="15.75" customHeight="1">
      <c r="A159" s="11" t="str">
        <f t="shared" si="3"/>
        <v/>
      </c>
      <c r="B159" s="28"/>
      <c r="C159" s="11" t="str">
        <f t="shared" si="4"/>
        <v/>
      </c>
      <c r="D159" s="10"/>
      <c r="E159" s="19"/>
      <c r="F159" s="19"/>
      <c r="G159" s="10"/>
      <c r="H159" s="11" t="str">
        <f>IF(G159="","",IFERROR(VLOOKUP(G159,PROFESSORES!A:B,2,FALSE),""))</f>
        <v/>
      </c>
      <c r="I159" s="10"/>
      <c r="J159" s="10"/>
      <c r="K159" s="11" t="str">
        <f>IF(OR(G159="",C159="",E159="",F159="",I159=""),"",IF(AND((COUNTIFS(DISPONIBILIDADE!A:A,G159,DISPONIBILIDADE!C:C,C159,DISPONIBILIDADE!D:D,"&lt;="&amp;E159,DISPONIBILIDADE!E:E,"&gt;="&amp;F159,DISPONIBILIDADE!F:F,I159,DISPONIBILIDADE!G:G,"Sim")+COUNTIFS(DISPONIBILIDADE!A:A,G159,DISPONIBILIDADE!C:C,C159,DISPONIBILIDADE!D:D,"&lt;="&amp;E159,DISPONIBILIDADE!E:E,"&gt;="&amp;F159,DISPONIBILIDADE!F:F,"Ambas",DISPONIBILIDADE!G:G,"Sim"))&gt;0,COUNTIFS($G$3:$G$502,G159,$B$3:$B$502,B159,$E$3:$E$502,"&lt;"&amp;F159,$F$3:$F$502,"&gt;"&amp;E159,$A$3:$A$502,"&lt;&gt;"&amp;A159)=0),"Sim","Não"))</f>
        <v/>
      </c>
      <c r="L159" s="11" t="str">
        <f>IF(OR(G159="",D159=""),"",IF(COUNTIFS('RESTRIÇÕES'!A:A,G159,'RESTRIÇÕES'!C:C,D159,'RESTRIÇÕES'!F:F,"Sim")&gt;0,"Com restrição","Sem restrição"))</f>
        <v/>
      </c>
      <c r="M159" s="11" t="str">
        <f t="shared" si="2"/>
        <v/>
      </c>
    </row>
    <row r="160" ht="15.75" customHeight="1">
      <c r="A160" s="13" t="str">
        <f t="shared" si="3"/>
        <v/>
      </c>
      <c r="B160" s="27"/>
      <c r="C160" s="13" t="str">
        <f t="shared" si="4"/>
        <v/>
      </c>
      <c r="D160" s="12"/>
      <c r="E160" s="21"/>
      <c r="F160" s="21"/>
      <c r="G160" s="12"/>
      <c r="H160" s="13" t="str">
        <f>IF(G160="","",IFERROR(VLOOKUP(G160,PROFESSORES!A:B,2,FALSE),""))</f>
        <v/>
      </c>
      <c r="I160" s="12"/>
      <c r="J160" s="12"/>
      <c r="K160" s="13" t="str">
        <f>IF(OR(G160="",C160="",E160="",F160="",I160=""),"",IF(AND((COUNTIFS(DISPONIBILIDADE!A:A,G160,DISPONIBILIDADE!C:C,C160,DISPONIBILIDADE!D:D,"&lt;="&amp;E160,DISPONIBILIDADE!E:E,"&gt;="&amp;F160,DISPONIBILIDADE!F:F,I160,DISPONIBILIDADE!G:G,"Sim")+COUNTIFS(DISPONIBILIDADE!A:A,G160,DISPONIBILIDADE!C:C,C160,DISPONIBILIDADE!D:D,"&lt;="&amp;E160,DISPONIBILIDADE!E:E,"&gt;="&amp;F160,DISPONIBILIDADE!F:F,"Ambas",DISPONIBILIDADE!G:G,"Sim"))&gt;0,COUNTIFS($G$3:$G$502,G160,$B$3:$B$502,B160,$E$3:$E$502,"&lt;"&amp;F160,$F$3:$F$502,"&gt;"&amp;E160,$A$3:$A$502,"&lt;&gt;"&amp;A160)=0),"Sim","Não"))</f>
        <v/>
      </c>
      <c r="L160" s="13" t="str">
        <f>IF(OR(G160="",D160=""),"",IF(COUNTIFS('RESTRIÇÕES'!A:A,G160,'RESTRIÇÕES'!C:C,D160,'RESTRIÇÕES'!F:F,"Sim")&gt;0,"Com restrição","Sem restrição"))</f>
        <v/>
      </c>
      <c r="M160" s="13" t="str">
        <f t="shared" si="2"/>
        <v/>
      </c>
    </row>
    <row r="161" ht="15.75" customHeight="1">
      <c r="A161" s="11" t="str">
        <f t="shared" si="3"/>
        <v/>
      </c>
      <c r="B161" s="28"/>
      <c r="C161" s="11" t="str">
        <f t="shared" si="4"/>
        <v/>
      </c>
      <c r="D161" s="10"/>
      <c r="E161" s="19"/>
      <c r="F161" s="19"/>
      <c r="G161" s="10"/>
      <c r="H161" s="11" t="str">
        <f>IF(G161="","",IFERROR(VLOOKUP(G161,PROFESSORES!A:B,2,FALSE),""))</f>
        <v/>
      </c>
      <c r="I161" s="10"/>
      <c r="J161" s="10"/>
      <c r="K161" s="11" t="str">
        <f>IF(OR(G161="",C161="",E161="",F161="",I161=""),"",IF(AND((COUNTIFS(DISPONIBILIDADE!A:A,G161,DISPONIBILIDADE!C:C,C161,DISPONIBILIDADE!D:D,"&lt;="&amp;E161,DISPONIBILIDADE!E:E,"&gt;="&amp;F161,DISPONIBILIDADE!F:F,I161,DISPONIBILIDADE!G:G,"Sim")+COUNTIFS(DISPONIBILIDADE!A:A,G161,DISPONIBILIDADE!C:C,C161,DISPONIBILIDADE!D:D,"&lt;="&amp;E161,DISPONIBILIDADE!E:E,"&gt;="&amp;F161,DISPONIBILIDADE!F:F,"Ambas",DISPONIBILIDADE!G:G,"Sim"))&gt;0,COUNTIFS($G$3:$G$502,G161,$B$3:$B$502,B161,$E$3:$E$502,"&lt;"&amp;F161,$F$3:$F$502,"&gt;"&amp;E161,$A$3:$A$502,"&lt;&gt;"&amp;A161)=0),"Sim","Não"))</f>
        <v/>
      </c>
      <c r="L161" s="11" t="str">
        <f>IF(OR(G161="",D161=""),"",IF(COUNTIFS('RESTRIÇÕES'!A:A,G161,'RESTRIÇÕES'!C:C,D161,'RESTRIÇÕES'!F:F,"Sim")&gt;0,"Com restrição","Sem restrição"))</f>
        <v/>
      </c>
      <c r="M161" s="11" t="str">
        <f t="shared" si="2"/>
        <v/>
      </c>
    </row>
    <row r="162" ht="15.75" customHeight="1">
      <c r="A162" s="13" t="str">
        <f t="shared" si="3"/>
        <v/>
      </c>
      <c r="B162" s="27"/>
      <c r="C162" s="13" t="str">
        <f t="shared" si="4"/>
        <v/>
      </c>
      <c r="D162" s="12"/>
      <c r="E162" s="21"/>
      <c r="F162" s="21"/>
      <c r="G162" s="12"/>
      <c r="H162" s="13" t="str">
        <f>IF(G162="","",IFERROR(VLOOKUP(G162,PROFESSORES!A:B,2,FALSE),""))</f>
        <v/>
      </c>
      <c r="I162" s="12"/>
      <c r="J162" s="12"/>
      <c r="K162" s="13" t="str">
        <f>IF(OR(G162="",C162="",E162="",F162="",I162=""),"",IF(AND((COUNTIFS(DISPONIBILIDADE!A:A,G162,DISPONIBILIDADE!C:C,C162,DISPONIBILIDADE!D:D,"&lt;="&amp;E162,DISPONIBILIDADE!E:E,"&gt;="&amp;F162,DISPONIBILIDADE!F:F,I162,DISPONIBILIDADE!G:G,"Sim")+COUNTIFS(DISPONIBILIDADE!A:A,G162,DISPONIBILIDADE!C:C,C162,DISPONIBILIDADE!D:D,"&lt;="&amp;E162,DISPONIBILIDADE!E:E,"&gt;="&amp;F162,DISPONIBILIDADE!F:F,"Ambas",DISPONIBILIDADE!G:G,"Sim"))&gt;0,COUNTIFS($G$3:$G$502,G162,$B$3:$B$502,B162,$E$3:$E$502,"&lt;"&amp;F162,$F$3:$F$502,"&gt;"&amp;E162,$A$3:$A$502,"&lt;&gt;"&amp;A162)=0),"Sim","Não"))</f>
        <v/>
      </c>
      <c r="L162" s="13" t="str">
        <f>IF(OR(G162="",D162=""),"",IF(COUNTIFS('RESTRIÇÕES'!A:A,G162,'RESTRIÇÕES'!C:C,D162,'RESTRIÇÕES'!F:F,"Sim")&gt;0,"Com restrição","Sem restrição"))</f>
        <v/>
      </c>
      <c r="M162" s="13" t="str">
        <f t="shared" si="2"/>
        <v/>
      </c>
    </row>
    <row r="163" ht="15.75" customHeight="1">
      <c r="A163" s="11" t="str">
        <f t="shared" si="3"/>
        <v/>
      </c>
      <c r="B163" s="28"/>
      <c r="C163" s="11" t="str">
        <f t="shared" si="4"/>
        <v/>
      </c>
      <c r="D163" s="10"/>
      <c r="E163" s="19"/>
      <c r="F163" s="19"/>
      <c r="G163" s="10"/>
      <c r="H163" s="11" t="str">
        <f>IF(G163="","",IFERROR(VLOOKUP(G163,PROFESSORES!A:B,2,FALSE),""))</f>
        <v/>
      </c>
      <c r="I163" s="10"/>
      <c r="J163" s="10"/>
      <c r="K163" s="11" t="str">
        <f>IF(OR(G163="",C163="",E163="",F163="",I163=""),"",IF(AND((COUNTIFS(DISPONIBILIDADE!A:A,G163,DISPONIBILIDADE!C:C,C163,DISPONIBILIDADE!D:D,"&lt;="&amp;E163,DISPONIBILIDADE!E:E,"&gt;="&amp;F163,DISPONIBILIDADE!F:F,I163,DISPONIBILIDADE!G:G,"Sim")+COUNTIFS(DISPONIBILIDADE!A:A,G163,DISPONIBILIDADE!C:C,C163,DISPONIBILIDADE!D:D,"&lt;="&amp;E163,DISPONIBILIDADE!E:E,"&gt;="&amp;F163,DISPONIBILIDADE!F:F,"Ambas",DISPONIBILIDADE!G:G,"Sim"))&gt;0,COUNTIFS($G$3:$G$502,G163,$B$3:$B$502,B163,$E$3:$E$502,"&lt;"&amp;F163,$F$3:$F$502,"&gt;"&amp;E163,$A$3:$A$502,"&lt;&gt;"&amp;A163)=0),"Sim","Não"))</f>
        <v/>
      </c>
      <c r="L163" s="11" t="str">
        <f>IF(OR(G163="",D163=""),"",IF(COUNTIFS('RESTRIÇÕES'!A:A,G163,'RESTRIÇÕES'!C:C,D163,'RESTRIÇÕES'!F:F,"Sim")&gt;0,"Com restrição","Sem restrição"))</f>
        <v/>
      </c>
      <c r="M163" s="11" t="str">
        <f t="shared" si="2"/>
        <v/>
      </c>
    </row>
    <row r="164" ht="15.75" customHeight="1">
      <c r="A164" s="13" t="str">
        <f t="shared" si="3"/>
        <v/>
      </c>
      <c r="B164" s="27"/>
      <c r="C164" s="13" t="str">
        <f t="shared" si="4"/>
        <v/>
      </c>
      <c r="D164" s="12"/>
      <c r="E164" s="21"/>
      <c r="F164" s="21"/>
      <c r="G164" s="12"/>
      <c r="H164" s="13" t="str">
        <f>IF(G164="","",IFERROR(VLOOKUP(G164,PROFESSORES!A:B,2,FALSE),""))</f>
        <v/>
      </c>
      <c r="I164" s="12"/>
      <c r="J164" s="12"/>
      <c r="K164" s="13" t="str">
        <f>IF(OR(G164="",C164="",E164="",F164="",I164=""),"",IF(AND((COUNTIFS(DISPONIBILIDADE!A:A,G164,DISPONIBILIDADE!C:C,C164,DISPONIBILIDADE!D:D,"&lt;="&amp;E164,DISPONIBILIDADE!E:E,"&gt;="&amp;F164,DISPONIBILIDADE!F:F,I164,DISPONIBILIDADE!G:G,"Sim")+COUNTIFS(DISPONIBILIDADE!A:A,G164,DISPONIBILIDADE!C:C,C164,DISPONIBILIDADE!D:D,"&lt;="&amp;E164,DISPONIBILIDADE!E:E,"&gt;="&amp;F164,DISPONIBILIDADE!F:F,"Ambas",DISPONIBILIDADE!G:G,"Sim"))&gt;0,COUNTIFS($G$3:$G$502,G164,$B$3:$B$502,B164,$E$3:$E$502,"&lt;"&amp;F164,$F$3:$F$502,"&gt;"&amp;E164,$A$3:$A$502,"&lt;&gt;"&amp;A164)=0),"Sim","Não"))</f>
        <v/>
      </c>
      <c r="L164" s="13" t="str">
        <f>IF(OR(G164="",D164=""),"",IF(COUNTIFS('RESTRIÇÕES'!A:A,G164,'RESTRIÇÕES'!C:C,D164,'RESTRIÇÕES'!F:F,"Sim")&gt;0,"Com restrição","Sem restrição"))</f>
        <v/>
      </c>
      <c r="M164" s="13" t="str">
        <f t="shared" si="2"/>
        <v/>
      </c>
    </row>
    <row r="165" ht="15.75" customHeight="1">
      <c r="A165" s="11" t="str">
        <f t="shared" si="3"/>
        <v/>
      </c>
      <c r="B165" s="28"/>
      <c r="C165" s="11" t="str">
        <f t="shared" si="4"/>
        <v/>
      </c>
      <c r="D165" s="10"/>
      <c r="E165" s="19"/>
      <c r="F165" s="19"/>
      <c r="G165" s="10"/>
      <c r="H165" s="11" t="str">
        <f>IF(G165="","",IFERROR(VLOOKUP(G165,PROFESSORES!A:B,2,FALSE),""))</f>
        <v/>
      </c>
      <c r="I165" s="10"/>
      <c r="J165" s="10"/>
      <c r="K165" s="11" t="str">
        <f>IF(OR(G165="",C165="",E165="",F165="",I165=""),"",IF(AND((COUNTIFS(DISPONIBILIDADE!A:A,G165,DISPONIBILIDADE!C:C,C165,DISPONIBILIDADE!D:D,"&lt;="&amp;E165,DISPONIBILIDADE!E:E,"&gt;="&amp;F165,DISPONIBILIDADE!F:F,I165,DISPONIBILIDADE!G:G,"Sim")+COUNTIFS(DISPONIBILIDADE!A:A,G165,DISPONIBILIDADE!C:C,C165,DISPONIBILIDADE!D:D,"&lt;="&amp;E165,DISPONIBILIDADE!E:E,"&gt;="&amp;F165,DISPONIBILIDADE!F:F,"Ambas",DISPONIBILIDADE!G:G,"Sim"))&gt;0,COUNTIFS($G$3:$G$502,G165,$B$3:$B$502,B165,$E$3:$E$502,"&lt;"&amp;F165,$F$3:$F$502,"&gt;"&amp;E165,$A$3:$A$502,"&lt;&gt;"&amp;A165)=0),"Sim","Não"))</f>
        <v/>
      </c>
      <c r="L165" s="11" t="str">
        <f>IF(OR(G165="",D165=""),"",IF(COUNTIFS('RESTRIÇÕES'!A:A,G165,'RESTRIÇÕES'!C:C,D165,'RESTRIÇÕES'!F:F,"Sim")&gt;0,"Com restrição","Sem restrição"))</f>
        <v/>
      </c>
      <c r="M165" s="11" t="str">
        <f t="shared" si="2"/>
        <v/>
      </c>
    </row>
    <row r="166" ht="15.75" customHeight="1">
      <c r="A166" s="13" t="str">
        <f t="shared" si="3"/>
        <v/>
      </c>
      <c r="B166" s="27"/>
      <c r="C166" s="13" t="str">
        <f t="shared" si="4"/>
        <v/>
      </c>
      <c r="D166" s="12"/>
      <c r="E166" s="21"/>
      <c r="F166" s="21"/>
      <c r="G166" s="12"/>
      <c r="H166" s="13" t="str">
        <f>IF(G166="","",IFERROR(VLOOKUP(G166,PROFESSORES!A:B,2,FALSE),""))</f>
        <v/>
      </c>
      <c r="I166" s="12"/>
      <c r="J166" s="12"/>
      <c r="K166" s="13" t="str">
        <f>IF(OR(G166="",C166="",E166="",F166="",I166=""),"",IF(AND((COUNTIFS(DISPONIBILIDADE!A:A,G166,DISPONIBILIDADE!C:C,C166,DISPONIBILIDADE!D:D,"&lt;="&amp;E166,DISPONIBILIDADE!E:E,"&gt;="&amp;F166,DISPONIBILIDADE!F:F,I166,DISPONIBILIDADE!G:G,"Sim")+COUNTIFS(DISPONIBILIDADE!A:A,G166,DISPONIBILIDADE!C:C,C166,DISPONIBILIDADE!D:D,"&lt;="&amp;E166,DISPONIBILIDADE!E:E,"&gt;="&amp;F166,DISPONIBILIDADE!F:F,"Ambas",DISPONIBILIDADE!G:G,"Sim"))&gt;0,COUNTIFS($G$3:$G$502,G166,$B$3:$B$502,B166,$E$3:$E$502,"&lt;"&amp;F166,$F$3:$F$502,"&gt;"&amp;E166,$A$3:$A$502,"&lt;&gt;"&amp;A166)=0),"Sim","Não"))</f>
        <v/>
      </c>
      <c r="L166" s="13" t="str">
        <f>IF(OR(G166="",D166=""),"",IF(COUNTIFS('RESTRIÇÕES'!A:A,G166,'RESTRIÇÕES'!C:C,D166,'RESTRIÇÕES'!F:F,"Sim")&gt;0,"Com restrição","Sem restrição"))</f>
        <v/>
      </c>
      <c r="M166" s="13" t="str">
        <f t="shared" si="2"/>
        <v/>
      </c>
    </row>
    <row r="167" ht="15.75" customHeight="1">
      <c r="A167" s="11" t="str">
        <f t="shared" si="3"/>
        <v/>
      </c>
      <c r="B167" s="28"/>
      <c r="C167" s="11" t="str">
        <f t="shared" si="4"/>
        <v/>
      </c>
      <c r="D167" s="10"/>
      <c r="E167" s="19"/>
      <c r="F167" s="19"/>
      <c r="G167" s="10"/>
      <c r="H167" s="11" t="str">
        <f>IF(G167="","",IFERROR(VLOOKUP(G167,PROFESSORES!A:B,2,FALSE),""))</f>
        <v/>
      </c>
      <c r="I167" s="10"/>
      <c r="J167" s="10"/>
      <c r="K167" s="11" t="str">
        <f>IF(OR(G167="",C167="",E167="",F167="",I167=""),"",IF(AND((COUNTIFS(DISPONIBILIDADE!A:A,G167,DISPONIBILIDADE!C:C,C167,DISPONIBILIDADE!D:D,"&lt;="&amp;E167,DISPONIBILIDADE!E:E,"&gt;="&amp;F167,DISPONIBILIDADE!F:F,I167,DISPONIBILIDADE!G:G,"Sim")+COUNTIFS(DISPONIBILIDADE!A:A,G167,DISPONIBILIDADE!C:C,C167,DISPONIBILIDADE!D:D,"&lt;="&amp;E167,DISPONIBILIDADE!E:E,"&gt;="&amp;F167,DISPONIBILIDADE!F:F,"Ambas",DISPONIBILIDADE!G:G,"Sim"))&gt;0,COUNTIFS($G$3:$G$502,G167,$B$3:$B$502,B167,$E$3:$E$502,"&lt;"&amp;F167,$F$3:$F$502,"&gt;"&amp;E167,$A$3:$A$502,"&lt;&gt;"&amp;A167)=0),"Sim","Não"))</f>
        <v/>
      </c>
      <c r="L167" s="11" t="str">
        <f>IF(OR(G167="",D167=""),"",IF(COUNTIFS('RESTRIÇÕES'!A:A,G167,'RESTRIÇÕES'!C:C,D167,'RESTRIÇÕES'!F:F,"Sim")&gt;0,"Com restrição","Sem restrição"))</f>
        <v/>
      </c>
      <c r="M167" s="11" t="str">
        <f t="shared" si="2"/>
        <v/>
      </c>
    </row>
    <row r="168" ht="15.75" customHeight="1">
      <c r="A168" s="13" t="str">
        <f t="shared" si="3"/>
        <v/>
      </c>
      <c r="B168" s="27"/>
      <c r="C168" s="13" t="str">
        <f t="shared" si="4"/>
        <v/>
      </c>
      <c r="D168" s="12"/>
      <c r="E168" s="21"/>
      <c r="F168" s="21"/>
      <c r="G168" s="12"/>
      <c r="H168" s="13" t="str">
        <f>IF(G168="","",IFERROR(VLOOKUP(G168,PROFESSORES!A:B,2,FALSE),""))</f>
        <v/>
      </c>
      <c r="I168" s="12"/>
      <c r="J168" s="12"/>
      <c r="K168" s="13" t="str">
        <f>IF(OR(G168="",C168="",E168="",F168="",I168=""),"",IF(AND((COUNTIFS(DISPONIBILIDADE!A:A,G168,DISPONIBILIDADE!C:C,C168,DISPONIBILIDADE!D:D,"&lt;="&amp;E168,DISPONIBILIDADE!E:E,"&gt;="&amp;F168,DISPONIBILIDADE!F:F,I168,DISPONIBILIDADE!G:G,"Sim")+COUNTIFS(DISPONIBILIDADE!A:A,G168,DISPONIBILIDADE!C:C,C168,DISPONIBILIDADE!D:D,"&lt;="&amp;E168,DISPONIBILIDADE!E:E,"&gt;="&amp;F168,DISPONIBILIDADE!F:F,"Ambas",DISPONIBILIDADE!G:G,"Sim"))&gt;0,COUNTIFS($G$3:$G$502,G168,$B$3:$B$502,B168,$E$3:$E$502,"&lt;"&amp;F168,$F$3:$F$502,"&gt;"&amp;E168,$A$3:$A$502,"&lt;&gt;"&amp;A168)=0),"Sim","Não"))</f>
        <v/>
      </c>
      <c r="L168" s="13" t="str">
        <f>IF(OR(G168="",D168=""),"",IF(COUNTIFS('RESTRIÇÕES'!A:A,G168,'RESTRIÇÕES'!C:C,D168,'RESTRIÇÕES'!F:F,"Sim")&gt;0,"Com restrição","Sem restrição"))</f>
        <v/>
      </c>
      <c r="M168" s="13" t="str">
        <f t="shared" si="2"/>
        <v/>
      </c>
    </row>
    <row r="169" ht="15.75" customHeight="1">
      <c r="A169" s="11" t="str">
        <f t="shared" si="3"/>
        <v/>
      </c>
      <c r="B169" s="28"/>
      <c r="C169" s="11" t="str">
        <f t="shared" si="4"/>
        <v/>
      </c>
      <c r="D169" s="10"/>
      <c r="E169" s="19"/>
      <c r="F169" s="19"/>
      <c r="G169" s="10"/>
      <c r="H169" s="11" t="str">
        <f>IF(G169="","",IFERROR(VLOOKUP(G169,PROFESSORES!A:B,2,FALSE),""))</f>
        <v/>
      </c>
      <c r="I169" s="10"/>
      <c r="J169" s="10"/>
      <c r="K169" s="11" t="str">
        <f>IF(OR(G169="",C169="",E169="",F169="",I169=""),"",IF(AND((COUNTIFS(DISPONIBILIDADE!A:A,G169,DISPONIBILIDADE!C:C,C169,DISPONIBILIDADE!D:D,"&lt;="&amp;E169,DISPONIBILIDADE!E:E,"&gt;="&amp;F169,DISPONIBILIDADE!F:F,I169,DISPONIBILIDADE!G:G,"Sim")+COUNTIFS(DISPONIBILIDADE!A:A,G169,DISPONIBILIDADE!C:C,C169,DISPONIBILIDADE!D:D,"&lt;="&amp;E169,DISPONIBILIDADE!E:E,"&gt;="&amp;F169,DISPONIBILIDADE!F:F,"Ambas",DISPONIBILIDADE!G:G,"Sim"))&gt;0,COUNTIFS($G$3:$G$502,G169,$B$3:$B$502,B169,$E$3:$E$502,"&lt;"&amp;F169,$F$3:$F$502,"&gt;"&amp;E169,$A$3:$A$502,"&lt;&gt;"&amp;A169)=0),"Sim","Não"))</f>
        <v/>
      </c>
      <c r="L169" s="11" t="str">
        <f>IF(OR(G169="",D169=""),"",IF(COUNTIFS('RESTRIÇÕES'!A:A,G169,'RESTRIÇÕES'!C:C,D169,'RESTRIÇÕES'!F:F,"Sim")&gt;0,"Com restrição","Sem restrição"))</f>
        <v/>
      </c>
      <c r="M169" s="11" t="str">
        <f t="shared" si="2"/>
        <v/>
      </c>
    </row>
    <row r="170" ht="15.75" customHeight="1">
      <c r="A170" s="13" t="str">
        <f t="shared" si="3"/>
        <v/>
      </c>
      <c r="B170" s="27"/>
      <c r="C170" s="13" t="str">
        <f t="shared" si="4"/>
        <v/>
      </c>
      <c r="D170" s="12"/>
      <c r="E170" s="21"/>
      <c r="F170" s="21"/>
      <c r="G170" s="12"/>
      <c r="H170" s="13" t="str">
        <f>IF(G170="","",IFERROR(VLOOKUP(G170,PROFESSORES!A:B,2,FALSE),""))</f>
        <v/>
      </c>
      <c r="I170" s="12"/>
      <c r="J170" s="12"/>
      <c r="K170" s="13" t="str">
        <f>IF(OR(G170="",C170="",E170="",F170="",I170=""),"",IF(AND((COUNTIFS(DISPONIBILIDADE!A:A,G170,DISPONIBILIDADE!C:C,C170,DISPONIBILIDADE!D:D,"&lt;="&amp;E170,DISPONIBILIDADE!E:E,"&gt;="&amp;F170,DISPONIBILIDADE!F:F,I170,DISPONIBILIDADE!G:G,"Sim")+COUNTIFS(DISPONIBILIDADE!A:A,G170,DISPONIBILIDADE!C:C,C170,DISPONIBILIDADE!D:D,"&lt;="&amp;E170,DISPONIBILIDADE!E:E,"&gt;="&amp;F170,DISPONIBILIDADE!F:F,"Ambas",DISPONIBILIDADE!G:G,"Sim"))&gt;0,COUNTIFS($G$3:$G$502,G170,$B$3:$B$502,B170,$E$3:$E$502,"&lt;"&amp;F170,$F$3:$F$502,"&gt;"&amp;E170,$A$3:$A$502,"&lt;&gt;"&amp;A170)=0),"Sim","Não"))</f>
        <v/>
      </c>
      <c r="L170" s="13" t="str">
        <f>IF(OR(G170="",D170=""),"",IF(COUNTIFS('RESTRIÇÕES'!A:A,G170,'RESTRIÇÕES'!C:C,D170,'RESTRIÇÕES'!F:F,"Sim")&gt;0,"Com restrição","Sem restrição"))</f>
        <v/>
      </c>
      <c r="M170" s="13" t="str">
        <f t="shared" si="2"/>
        <v/>
      </c>
    </row>
    <row r="171" ht="15.75" customHeight="1">
      <c r="A171" s="11" t="str">
        <f t="shared" si="3"/>
        <v/>
      </c>
      <c r="B171" s="28"/>
      <c r="C171" s="11" t="str">
        <f t="shared" si="4"/>
        <v/>
      </c>
      <c r="D171" s="10"/>
      <c r="E171" s="19"/>
      <c r="F171" s="19"/>
      <c r="G171" s="10"/>
      <c r="H171" s="11" t="str">
        <f>IF(G171="","",IFERROR(VLOOKUP(G171,PROFESSORES!A:B,2,FALSE),""))</f>
        <v/>
      </c>
      <c r="I171" s="10"/>
      <c r="J171" s="10"/>
      <c r="K171" s="11" t="str">
        <f>IF(OR(G171="",C171="",E171="",F171="",I171=""),"",IF(AND((COUNTIFS(DISPONIBILIDADE!A:A,G171,DISPONIBILIDADE!C:C,C171,DISPONIBILIDADE!D:D,"&lt;="&amp;E171,DISPONIBILIDADE!E:E,"&gt;="&amp;F171,DISPONIBILIDADE!F:F,I171,DISPONIBILIDADE!G:G,"Sim")+COUNTIFS(DISPONIBILIDADE!A:A,G171,DISPONIBILIDADE!C:C,C171,DISPONIBILIDADE!D:D,"&lt;="&amp;E171,DISPONIBILIDADE!E:E,"&gt;="&amp;F171,DISPONIBILIDADE!F:F,"Ambas",DISPONIBILIDADE!G:G,"Sim"))&gt;0,COUNTIFS($G$3:$G$502,G171,$B$3:$B$502,B171,$E$3:$E$502,"&lt;"&amp;F171,$F$3:$F$502,"&gt;"&amp;E171,$A$3:$A$502,"&lt;&gt;"&amp;A171)=0),"Sim","Não"))</f>
        <v/>
      </c>
      <c r="L171" s="11" t="str">
        <f>IF(OR(G171="",D171=""),"",IF(COUNTIFS('RESTRIÇÕES'!A:A,G171,'RESTRIÇÕES'!C:C,D171,'RESTRIÇÕES'!F:F,"Sim")&gt;0,"Com restrição","Sem restrição"))</f>
        <v/>
      </c>
      <c r="M171" s="11" t="str">
        <f t="shared" si="2"/>
        <v/>
      </c>
    </row>
    <row r="172" ht="15.75" customHeight="1">
      <c r="A172" s="13" t="str">
        <f t="shared" si="3"/>
        <v/>
      </c>
      <c r="B172" s="27"/>
      <c r="C172" s="13" t="str">
        <f t="shared" si="4"/>
        <v/>
      </c>
      <c r="D172" s="12"/>
      <c r="E172" s="21"/>
      <c r="F172" s="21"/>
      <c r="G172" s="12"/>
      <c r="H172" s="13" t="str">
        <f>IF(G172="","",IFERROR(VLOOKUP(G172,PROFESSORES!A:B,2,FALSE),""))</f>
        <v/>
      </c>
      <c r="I172" s="12"/>
      <c r="J172" s="12"/>
      <c r="K172" s="13" t="str">
        <f>IF(OR(G172="",C172="",E172="",F172="",I172=""),"",IF(AND((COUNTIFS(DISPONIBILIDADE!A:A,G172,DISPONIBILIDADE!C:C,C172,DISPONIBILIDADE!D:D,"&lt;="&amp;E172,DISPONIBILIDADE!E:E,"&gt;="&amp;F172,DISPONIBILIDADE!F:F,I172,DISPONIBILIDADE!G:G,"Sim")+COUNTIFS(DISPONIBILIDADE!A:A,G172,DISPONIBILIDADE!C:C,C172,DISPONIBILIDADE!D:D,"&lt;="&amp;E172,DISPONIBILIDADE!E:E,"&gt;="&amp;F172,DISPONIBILIDADE!F:F,"Ambas",DISPONIBILIDADE!G:G,"Sim"))&gt;0,COUNTIFS($G$3:$G$502,G172,$B$3:$B$502,B172,$E$3:$E$502,"&lt;"&amp;F172,$F$3:$F$502,"&gt;"&amp;E172,$A$3:$A$502,"&lt;&gt;"&amp;A172)=0),"Sim","Não"))</f>
        <v/>
      </c>
      <c r="L172" s="13" t="str">
        <f>IF(OR(G172="",D172=""),"",IF(COUNTIFS('RESTRIÇÕES'!A:A,G172,'RESTRIÇÕES'!C:C,D172,'RESTRIÇÕES'!F:F,"Sim")&gt;0,"Com restrição","Sem restrição"))</f>
        <v/>
      </c>
      <c r="M172" s="13" t="str">
        <f t="shared" si="2"/>
        <v/>
      </c>
    </row>
    <row r="173" ht="15.75" customHeight="1">
      <c r="A173" s="11" t="str">
        <f t="shared" si="3"/>
        <v/>
      </c>
      <c r="B173" s="28"/>
      <c r="C173" s="11" t="str">
        <f t="shared" si="4"/>
        <v/>
      </c>
      <c r="D173" s="10"/>
      <c r="E173" s="19"/>
      <c r="F173" s="19"/>
      <c r="G173" s="10"/>
      <c r="H173" s="11" t="str">
        <f>IF(G173="","",IFERROR(VLOOKUP(G173,PROFESSORES!A:B,2,FALSE),""))</f>
        <v/>
      </c>
      <c r="I173" s="10"/>
      <c r="J173" s="10"/>
      <c r="K173" s="11" t="str">
        <f>IF(OR(G173="",C173="",E173="",F173="",I173=""),"",IF(AND((COUNTIFS(DISPONIBILIDADE!A:A,G173,DISPONIBILIDADE!C:C,C173,DISPONIBILIDADE!D:D,"&lt;="&amp;E173,DISPONIBILIDADE!E:E,"&gt;="&amp;F173,DISPONIBILIDADE!F:F,I173,DISPONIBILIDADE!G:G,"Sim")+COUNTIFS(DISPONIBILIDADE!A:A,G173,DISPONIBILIDADE!C:C,C173,DISPONIBILIDADE!D:D,"&lt;="&amp;E173,DISPONIBILIDADE!E:E,"&gt;="&amp;F173,DISPONIBILIDADE!F:F,"Ambas",DISPONIBILIDADE!G:G,"Sim"))&gt;0,COUNTIFS($G$3:$G$502,G173,$B$3:$B$502,B173,$E$3:$E$502,"&lt;"&amp;F173,$F$3:$F$502,"&gt;"&amp;E173,$A$3:$A$502,"&lt;&gt;"&amp;A173)=0),"Sim","Não"))</f>
        <v/>
      </c>
      <c r="L173" s="11" t="str">
        <f>IF(OR(G173="",D173=""),"",IF(COUNTIFS('RESTRIÇÕES'!A:A,G173,'RESTRIÇÕES'!C:C,D173,'RESTRIÇÕES'!F:F,"Sim")&gt;0,"Com restrição","Sem restrição"))</f>
        <v/>
      </c>
      <c r="M173" s="11" t="str">
        <f t="shared" si="2"/>
        <v/>
      </c>
    </row>
    <row r="174" ht="15.75" customHeight="1">
      <c r="A174" s="13" t="str">
        <f t="shared" si="3"/>
        <v/>
      </c>
      <c r="B174" s="27"/>
      <c r="C174" s="13" t="str">
        <f t="shared" si="4"/>
        <v/>
      </c>
      <c r="D174" s="12"/>
      <c r="E174" s="21"/>
      <c r="F174" s="21"/>
      <c r="G174" s="12"/>
      <c r="H174" s="13" t="str">
        <f>IF(G174="","",IFERROR(VLOOKUP(G174,PROFESSORES!A:B,2,FALSE),""))</f>
        <v/>
      </c>
      <c r="I174" s="12"/>
      <c r="J174" s="12"/>
      <c r="K174" s="13" t="str">
        <f>IF(OR(G174="",C174="",E174="",F174="",I174=""),"",IF(AND((COUNTIFS(DISPONIBILIDADE!A:A,G174,DISPONIBILIDADE!C:C,C174,DISPONIBILIDADE!D:D,"&lt;="&amp;E174,DISPONIBILIDADE!E:E,"&gt;="&amp;F174,DISPONIBILIDADE!F:F,I174,DISPONIBILIDADE!G:G,"Sim")+COUNTIFS(DISPONIBILIDADE!A:A,G174,DISPONIBILIDADE!C:C,C174,DISPONIBILIDADE!D:D,"&lt;="&amp;E174,DISPONIBILIDADE!E:E,"&gt;="&amp;F174,DISPONIBILIDADE!F:F,"Ambas",DISPONIBILIDADE!G:G,"Sim"))&gt;0,COUNTIFS($G$3:$G$502,G174,$B$3:$B$502,B174,$E$3:$E$502,"&lt;"&amp;F174,$F$3:$F$502,"&gt;"&amp;E174,$A$3:$A$502,"&lt;&gt;"&amp;A174)=0),"Sim","Não"))</f>
        <v/>
      </c>
      <c r="L174" s="13" t="str">
        <f>IF(OR(G174="",D174=""),"",IF(COUNTIFS('RESTRIÇÕES'!A:A,G174,'RESTRIÇÕES'!C:C,D174,'RESTRIÇÕES'!F:F,"Sim")&gt;0,"Com restrição","Sem restrição"))</f>
        <v/>
      </c>
      <c r="M174" s="13" t="str">
        <f t="shared" si="2"/>
        <v/>
      </c>
    </row>
    <row r="175" ht="15.75" customHeight="1">
      <c r="A175" s="11" t="str">
        <f t="shared" si="3"/>
        <v/>
      </c>
      <c r="B175" s="28"/>
      <c r="C175" s="11" t="str">
        <f t="shared" si="4"/>
        <v/>
      </c>
      <c r="D175" s="10"/>
      <c r="E175" s="19"/>
      <c r="F175" s="19"/>
      <c r="G175" s="10"/>
      <c r="H175" s="11" t="str">
        <f>IF(G175="","",IFERROR(VLOOKUP(G175,PROFESSORES!A:B,2,FALSE),""))</f>
        <v/>
      </c>
      <c r="I175" s="10"/>
      <c r="J175" s="10"/>
      <c r="K175" s="11" t="str">
        <f>IF(OR(G175="",C175="",E175="",F175="",I175=""),"",IF(AND((COUNTIFS(DISPONIBILIDADE!A:A,G175,DISPONIBILIDADE!C:C,C175,DISPONIBILIDADE!D:D,"&lt;="&amp;E175,DISPONIBILIDADE!E:E,"&gt;="&amp;F175,DISPONIBILIDADE!F:F,I175,DISPONIBILIDADE!G:G,"Sim")+COUNTIFS(DISPONIBILIDADE!A:A,G175,DISPONIBILIDADE!C:C,C175,DISPONIBILIDADE!D:D,"&lt;="&amp;E175,DISPONIBILIDADE!E:E,"&gt;="&amp;F175,DISPONIBILIDADE!F:F,"Ambas",DISPONIBILIDADE!G:G,"Sim"))&gt;0,COUNTIFS($G$3:$G$502,G175,$B$3:$B$502,B175,$E$3:$E$502,"&lt;"&amp;F175,$F$3:$F$502,"&gt;"&amp;E175,$A$3:$A$502,"&lt;&gt;"&amp;A175)=0),"Sim","Não"))</f>
        <v/>
      </c>
      <c r="L175" s="11" t="str">
        <f>IF(OR(G175="",D175=""),"",IF(COUNTIFS('RESTRIÇÕES'!A:A,G175,'RESTRIÇÕES'!C:C,D175,'RESTRIÇÕES'!F:F,"Sim")&gt;0,"Com restrição","Sem restrição"))</f>
        <v/>
      </c>
      <c r="M175" s="11" t="str">
        <f t="shared" si="2"/>
        <v/>
      </c>
    </row>
    <row r="176" ht="15.75" customHeight="1">
      <c r="A176" s="13" t="str">
        <f t="shared" si="3"/>
        <v/>
      </c>
      <c r="B176" s="27"/>
      <c r="C176" s="13" t="str">
        <f t="shared" si="4"/>
        <v/>
      </c>
      <c r="D176" s="12"/>
      <c r="E176" s="21"/>
      <c r="F176" s="21"/>
      <c r="G176" s="12"/>
      <c r="H176" s="13" t="str">
        <f>IF(G176="","",IFERROR(VLOOKUP(G176,PROFESSORES!A:B,2,FALSE),""))</f>
        <v/>
      </c>
      <c r="I176" s="12"/>
      <c r="J176" s="12"/>
      <c r="K176" s="13" t="str">
        <f>IF(OR(G176="",C176="",E176="",F176="",I176=""),"",IF(AND((COUNTIFS(DISPONIBILIDADE!A:A,G176,DISPONIBILIDADE!C:C,C176,DISPONIBILIDADE!D:D,"&lt;="&amp;E176,DISPONIBILIDADE!E:E,"&gt;="&amp;F176,DISPONIBILIDADE!F:F,I176,DISPONIBILIDADE!G:G,"Sim")+COUNTIFS(DISPONIBILIDADE!A:A,G176,DISPONIBILIDADE!C:C,C176,DISPONIBILIDADE!D:D,"&lt;="&amp;E176,DISPONIBILIDADE!E:E,"&gt;="&amp;F176,DISPONIBILIDADE!F:F,"Ambas",DISPONIBILIDADE!G:G,"Sim"))&gt;0,COUNTIFS($G$3:$G$502,G176,$B$3:$B$502,B176,$E$3:$E$502,"&lt;"&amp;F176,$F$3:$F$502,"&gt;"&amp;E176,$A$3:$A$502,"&lt;&gt;"&amp;A176)=0),"Sim","Não"))</f>
        <v/>
      </c>
      <c r="L176" s="13" t="str">
        <f>IF(OR(G176="",D176=""),"",IF(COUNTIFS('RESTRIÇÕES'!A:A,G176,'RESTRIÇÕES'!C:C,D176,'RESTRIÇÕES'!F:F,"Sim")&gt;0,"Com restrição","Sem restrição"))</f>
        <v/>
      </c>
      <c r="M176" s="13" t="str">
        <f t="shared" si="2"/>
        <v/>
      </c>
    </row>
    <row r="177" ht="15.75" customHeight="1">
      <c r="A177" s="11" t="str">
        <f t="shared" si="3"/>
        <v/>
      </c>
      <c r="B177" s="28"/>
      <c r="C177" s="11" t="str">
        <f t="shared" si="4"/>
        <v/>
      </c>
      <c r="D177" s="10"/>
      <c r="E177" s="19"/>
      <c r="F177" s="19"/>
      <c r="G177" s="10"/>
      <c r="H177" s="11" t="str">
        <f>IF(G177="","",IFERROR(VLOOKUP(G177,PROFESSORES!A:B,2,FALSE),""))</f>
        <v/>
      </c>
      <c r="I177" s="10"/>
      <c r="J177" s="10"/>
      <c r="K177" s="11" t="str">
        <f>IF(OR(G177="",C177="",E177="",F177="",I177=""),"",IF(AND((COUNTIFS(DISPONIBILIDADE!A:A,G177,DISPONIBILIDADE!C:C,C177,DISPONIBILIDADE!D:D,"&lt;="&amp;E177,DISPONIBILIDADE!E:E,"&gt;="&amp;F177,DISPONIBILIDADE!F:F,I177,DISPONIBILIDADE!G:G,"Sim")+COUNTIFS(DISPONIBILIDADE!A:A,G177,DISPONIBILIDADE!C:C,C177,DISPONIBILIDADE!D:D,"&lt;="&amp;E177,DISPONIBILIDADE!E:E,"&gt;="&amp;F177,DISPONIBILIDADE!F:F,"Ambas",DISPONIBILIDADE!G:G,"Sim"))&gt;0,COUNTIFS($G$3:$G$502,G177,$B$3:$B$502,B177,$E$3:$E$502,"&lt;"&amp;F177,$F$3:$F$502,"&gt;"&amp;E177,$A$3:$A$502,"&lt;&gt;"&amp;A177)=0),"Sim","Não"))</f>
        <v/>
      </c>
      <c r="L177" s="11" t="str">
        <f>IF(OR(G177="",D177=""),"",IF(COUNTIFS('RESTRIÇÕES'!A:A,G177,'RESTRIÇÕES'!C:C,D177,'RESTRIÇÕES'!F:F,"Sim")&gt;0,"Com restrição","Sem restrição"))</f>
        <v/>
      </c>
      <c r="M177" s="11" t="str">
        <f t="shared" si="2"/>
        <v/>
      </c>
    </row>
    <row r="178" ht="15.75" customHeight="1">
      <c r="A178" s="13" t="str">
        <f t="shared" si="3"/>
        <v/>
      </c>
      <c r="B178" s="27"/>
      <c r="C178" s="13" t="str">
        <f t="shared" si="4"/>
        <v/>
      </c>
      <c r="D178" s="12"/>
      <c r="E178" s="21"/>
      <c r="F178" s="21"/>
      <c r="G178" s="12"/>
      <c r="H178" s="13" t="str">
        <f>IF(G178="","",IFERROR(VLOOKUP(G178,PROFESSORES!A:B,2,FALSE),""))</f>
        <v/>
      </c>
      <c r="I178" s="12"/>
      <c r="J178" s="12"/>
      <c r="K178" s="13" t="str">
        <f>IF(OR(G178="",C178="",E178="",F178="",I178=""),"",IF(AND((COUNTIFS(DISPONIBILIDADE!A:A,G178,DISPONIBILIDADE!C:C,C178,DISPONIBILIDADE!D:D,"&lt;="&amp;E178,DISPONIBILIDADE!E:E,"&gt;="&amp;F178,DISPONIBILIDADE!F:F,I178,DISPONIBILIDADE!G:G,"Sim")+COUNTIFS(DISPONIBILIDADE!A:A,G178,DISPONIBILIDADE!C:C,C178,DISPONIBILIDADE!D:D,"&lt;="&amp;E178,DISPONIBILIDADE!E:E,"&gt;="&amp;F178,DISPONIBILIDADE!F:F,"Ambas",DISPONIBILIDADE!G:G,"Sim"))&gt;0,COUNTIFS($G$3:$G$502,G178,$B$3:$B$502,B178,$E$3:$E$502,"&lt;"&amp;F178,$F$3:$F$502,"&gt;"&amp;E178,$A$3:$A$502,"&lt;&gt;"&amp;A178)=0),"Sim","Não"))</f>
        <v/>
      </c>
      <c r="L178" s="13" t="str">
        <f>IF(OR(G178="",D178=""),"",IF(COUNTIFS('RESTRIÇÕES'!A:A,G178,'RESTRIÇÕES'!C:C,D178,'RESTRIÇÕES'!F:F,"Sim")&gt;0,"Com restrição","Sem restrição"))</f>
        <v/>
      </c>
      <c r="M178" s="13" t="str">
        <f t="shared" si="2"/>
        <v/>
      </c>
    </row>
    <row r="179" ht="15.75" customHeight="1">
      <c r="A179" s="11" t="str">
        <f t="shared" si="3"/>
        <v/>
      </c>
      <c r="B179" s="28"/>
      <c r="C179" s="11" t="str">
        <f t="shared" si="4"/>
        <v/>
      </c>
      <c r="D179" s="10"/>
      <c r="E179" s="19"/>
      <c r="F179" s="19"/>
      <c r="G179" s="10"/>
      <c r="H179" s="11" t="str">
        <f>IF(G179="","",IFERROR(VLOOKUP(G179,PROFESSORES!A:B,2,FALSE),""))</f>
        <v/>
      </c>
      <c r="I179" s="10"/>
      <c r="J179" s="10"/>
      <c r="K179" s="11" t="str">
        <f>IF(OR(G179="",C179="",E179="",F179="",I179=""),"",IF(AND((COUNTIFS(DISPONIBILIDADE!A:A,G179,DISPONIBILIDADE!C:C,C179,DISPONIBILIDADE!D:D,"&lt;="&amp;E179,DISPONIBILIDADE!E:E,"&gt;="&amp;F179,DISPONIBILIDADE!F:F,I179,DISPONIBILIDADE!G:G,"Sim")+COUNTIFS(DISPONIBILIDADE!A:A,G179,DISPONIBILIDADE!C:C,C179,DISPONIBILIDADE!D:D,"&lt;="&amp;E179,DISPONIBILIDADE!E:E,"&gt;="&amp;F179,DISPONIBILIDADE!F:F,"Ambas",DISPONIBILIDADE!G:G,"Sim"))&gt;0,COUNTIFS($G$3:$G$502,G179,$B$3:$B$502,B179,$E$3:$E$502,"&lt;"&amp;F179,$F$3:$F$502,"&gt;"&amp;E179,$A$3:$A$502,"&lt;&gt;"&amp;A179)=0),"Sim","Não"))</f>
        <v/>
      </c>
      <c r="L179" s="11" t="str">
        <f>IF(OR(G179="",D179=""),"",IF(COUNTIFS('RESTRIÇÕES'!A:A,G179,'RESTRIÇÕES'!C:C,D179,'RESTRIÇÕES'!F:F,"Sim")&gt;0,"Com restrição","Sem restrição"))</f>
        <v/>
      </c>
      <c r="M179" s="11" t="str">
        <f t="shared" si="2"/>
        <v/>
      </c>
    </row>
    <row r="180" ht="15.75" customHeight="1">
      <c r="A180" s="13" t="str">
        <f t="shared" si="3"/>
        <v/>
      </c>
      <c r="B180" s="27"/>
      <c r="C180" s="13" t="str">
        <f t="shared" si="4"/>
        <v/>
      </c>
      <c r="D180" s="12"/>
      <c r="E180" s="21"/>
      <c r="F180" s="21"/>
      <c r="G180" s="12"/>
      <c r="H180" s="13" t="str">
        <f>IF(G180="","",IFERROR(VLOOKUP(G180,PROFESSORES!A:B,2,FALSE),""))</f>
        <v/>
      </c>
      <c r="I180" s="12"/>
      <c r="J180" s="12"/>
      <c r="K180" s="13" t="str">
        <f>IF(OR(G180="",C180="",E180="",F180="",I180=""),"",IF(AND((COUNTIFS(DISPONIBILIDADE!A:A,G180,DISPONIBILIDADE!C:C,C180,DISPONIBILIDADE!D:D,"&lt;="&amp;E180,DISPONIBILIDADE!E:E,"&gt;="&amp;F180,DISPONIBILIDADE!F:F,I180,DISPONIBILIDADE!G:G,"Sim")+COUNTIFS(DISPONIBILIDADE!A:A,G180,DISPONIBILIDADE!C:C,C180,DISPONIBILIDADE!D:D,"&lt;="&amp;E180,DISPONIBILIDADE!E:E,"&gt;="&amp;F180,DISPONIBILIDADE!F:F,"Ambas",DISPONIBILIDADE!G:G,"Sim"))&gt;0,COUNTIFS($G$3:$G$502,G180,$B$3:$B$502,B180,$E$3:$E$502,"&lt;"&amp;F180,$F$3:$F$502,"&gt;"&amp;E180,$A$3:$A$502,"&lt;&gt;"&amp;A180)=0),"Sim","Não"))</f>
        <v/>
      </c>
      <c r="L180" s="13" t="str">
        <f>IF(OR(G180="",D180=""),"",IF(COUNTIFS('RESTRIÇÕES'!A:A,G180,'RESTRIÇÕES'!C:C,D180,'RESTRIÇÕES'!F:F,"Sim")&gt;0,"Com restrição","Sem restrição"))</f>
        <v/>
      </c>
      <c r="M180" s="13" t="str">
        <f t="shared" si="2"/>
        <v/>
      </c>
    </row>
    <row r="181" ht="15.75" customHeight="1">
      <c r="A181" s="11" t="str">
        <f t="shared" si="3"/>
        <v/>
      </c>
      <c r="B181" s="28"/>
      <c r="C181" s="11" t="str">
        <f t="shared" si="4"/>
        <v/>
      </c>
      <c r="D181" s="10"/>
      <c r="E181" s="19"/>
      <c r="F181" s="19"/>
      <c r="G181" s="10"/>
      <c r="H181" s="11" t="str">
        <f>IF(G181="","",IFERROR(VLOOKUP(G181,PROFESSORES!A:B,2,FALSE),""))</f>
        <v/>
      </c>
      <c r="I181" s="10"/>
      <c r="J181" s="10"/>
      <c r="K181" s="11" t="str">
        <f>IF(OR(G181="",C181="",E181="",F181="",I181=""),"",IF(AND((COUNTIFS(DISPONIBILIDADE!A:A,G181,DISPONIBILIDADE!C:C,C181,DISPONIBILIDADE!D:D,"&lt;="&amp;E181,DISPONIBILIDADE!E:E,"&gt;="&amp;F181,DISPONIBILIDADE!F:F,I181,DISPONIBILIDADE!G:G,"Sim")+COUNTIFS(DISPONIBILIDADE!A:A,G181,DISPONIBILIDADE!C:C,C181,DISPONIBILIDADE!D:D,"&lt;="&amp;E181,DISPONIBILIDADE!E:E,"&gt;="&amp;F181,DISPONIBILIDADE!F:F,"Ambas",DISPONIBILIDADE!G:G,"Sim"))&gt;0,COUNTIFS($G$3:$G$502,G181,$B$3:$B$502,B181,$E$3:$E$502,"&lt;"&amp;F181,$F$3:$F$502,"&gt;"&amp;E181,$A$3:$A$502,"&lt;&gt;"&amp;A181)=0),"Sim","Não"))</f>
        <v/>
      </c>
      <c r="L181" s="11" t="str">
        <f>IF(OR(G181="",D181=""),"",IF(COUNTIFS('RESTRIÇÕES'!A:A,G181,'RESTRIÇÕES'!C:C,D181,'RESTRIÇÕES'!F:F,"Sim")&gt;0,"Com restrição","Sem restrição"))</f>
        <v/>
      </c>
      <c r="M181" s="11" t="str">
        <f t="shared" si="2"/>
        <v/>
      </c>
    </row>
    <row r="182" ht="15.75" customHeight="1">
      <c r="A182" s="13" t="str">
        <f t="shared" si="3"/>
        <v/>
      </c>
      <c r="B182" s="27"/>
      <c r="C182" s="13" t="str">
        <f t="shared" si="4"/>
        <v/>
      </c>
      <c r="D182" s="12"/>
      <c r="E182" s="21"/>
      <c r="F182" s="21"/>
      <c r="G182" s="12"/>
      <c r="H182" s="13" t="str">
        <f>IF(G182="","",IFERROR(VLOOKUP(G182,PROFESSORES!A:B,2,FALSE),""))</f>
        <v/>
      </c>
      <c r="I182" s="12"/>
      <c r="J182" s="12"/>
      <c r="K182" s="13" t="str">
        <f>IF(OR(G182="",C182="",E182="",F182="",I182=""),"",IF(AND((COUNTIFS(DISPONIBILIDADE!A:A,G182,DISPONIBILIDADE!C:C,C182,DISPONIBILIDADE!D:D,"&lt;="&amp;E182,DISPONIBILIDADE!E:E,"&gt;="&amp;F182,DISPONIBILIDADE!F:F,I182,DISPONIBILIDADE!G:G,"Sim")+COUNTIFS(DISPONIBILIDADE!A:A,G182,DISPONIBILIDADE!C:C,C182,DISPONIBILIDADE!D:D,"&lt;="&amp;E182,DISPONIBILIDADE!E:E,"&gt;="&amp;F182,DISPONIBILIDADE!F:F,"Ambas",DISPONIBILIDADE!G:G,"Sim"))&gt;0,COUNTIFS($G$3:$G$502,G182,$B$3:$B$502,B182,$E$3:$E$502,"&lt;"&amp;F182,$F$3:$F$502,"&gt;"&amp;E182,$A$3:$A$502,"&lt;&gt;"&amp;A182)=0),"Sim","Não"))</f>
        <v/>
      </c>
      <c r="L182" s="13" t="str">
        <f>IF(OR(G182="",D182=""),"",IF(COUNTIFS('RESTRIÇÕES'!A:A,G182,'RESTRIÇÕES'!C:C,D182,'RESTRIÇÕES'!F:F,"Sim")&gt;0,"Com restrição","Sem restrição"))</f>
        <v/>
      </c>
      <c r="M182" s="13" t="str">
        <f t="shared" si="2"/>
        <v/>
      </c>
    </row>
    <row r="183" ht="15.75" customHeight="1">
      <c r="A183" s="11" t="str">
        <f t="shared" si="3"/>
        <v/>
      </c>
      <c r="B183" s="28"/>
      <c r="C183" s="11" t="str">
        <f t="shared" si="4"/>
        <v/>
      </c>
      <c r="D183" s="10"/>
      <c r="E183" s="19"/>
      <c r="F183" s="19"/>
      <c r="G183" s="10"/>
      <c r="H183" s="11" t="str">
        <f>IF(G183="","",IFERROR(VLOOKUP(G183,PROFESSORES!A:B,2,FALSE),""))</f>
        <v/>
      </c>
      <c r="I183" s="10"/>
      <c r="J183" s="10"/>
      <c r="K183" s="11" t="str">
        <f>IF(OR(G183="",C183="",E183="",F183="",I183=""),"",IF(AND((COUNTIFS(DISPONIBILIDADE!A:A,G183,DISPONIBILIDADE!C:C,C183,DISPONIBILIDADE!D:D,"&lt;="&amp;E183,DISPONIBILIDADE!E:E,"&gt;="&amp;F183,DISPONIBILIDADE!F:F,I183,DISPONIBILIDADE!G:G,"Sim")+COUNTIFS(DISPONIBILIDADE!A:A,G183,DISPONIBILIDADE!C:C,C183,DISPONIBILIDADE!D:D,"&lt;="&amp;E183,DISPONIBILIDADE!E:E,"&gt;="&amp;F183,DISPONIBILIDADE!F:F,"Ambas",DISPONIBILIDADE!G:G,"Sim"))&gt;0,COUNTIFS($G$3:$G$502,G183,$B$3:$B$502,B183,$E$3:$E$502,"&lt;"&amp;F183,$F$3:$F$502,"&gt;"&amp;E183,$A$3:$A$502,"&lt;&gt;"&amp;A183)=0),"Sim","Não"))</f>
        <v/>
      </c>
      <c r="L183" s="11" t="str">
        <f>IF(OR(G183="",D183=""),"",IF(COUNTIFS('RESTRIÇÕES'!A:A,G183,'RESTRIÇÕES'!C:C,D183,'RESTRIÇÕES'!F:F,"Sim")&gt;0,"Com restrição","Sem restrição"))</f>
        <v/>
      </c>
      <c r="M183" s="11" t="str">
        <f t="shared" si="2"/>
        <v/>
      </c>
    </row>
    <row r="184" ht="15.75" customHeight="1">
      <c r="A184" s="13" t="str">
        <f t="shared" si="3"/>
        <v/>
      </c>
      <c r="B184" s="27"/>
      <c r="C184" s="13" t="str">
        <f t="shared" si="4"/>
        <v/>
      </c>
      <c r="D184" s="12"/>
      <c r="E184" s="21"/>
      <c r="F184" s="21"/>
      <c r="G184" s="12"/>
      <c r="H184" s="13" t="str">
        <f>IF(G184="","",IFERROR(VLOOKUP(G184,PROFESSORES!A:B,2,FALSE),""))</f>
        <v/>
      </c>
      <c r="I184" s="12"/>
      <c r="J184" s="12"/>
      <c r="K184" s="13" t="str">
        <f>IF(OR(G184="",C184="",E184="",F184="",I184=""),"",IF(AND((COUNTIFS(DISPONIBILIDADE!A:A,G184,DISPONIBILIDADE!C:C,C184,DISPONIBILIDADE!D:D,"&lt;="&amp;E184,DISPONIBILIDADE!E:E,"&gt;="&amp;F184,DISPONIBILIDADE!F:F,I184,DISPONIBILIDADE!G:G,"Sim")+COUNTIFS(DISPONIBILIDADE!A:A,G184,DISPONIBILIDADE!C:C,C184,DISPONIBILIDADE!D:D,"&lt;="&amp;E184,DISPONIBILIDADE!E:E,"&gt;="&amp;F184,DISPONIBILIDADE!F:F,"Ambas",DISPONIBILIDADE!G:G,"Sim"))&gt;0,COUNTIFS($G$3:$G$502,G184,$B$3:$B$502,B184,$E$3:$E$502,"&lt;"&amp;F184,$F$3:$F$502,"&gt;"&amp;E184,$A$3:$A$502,"&lt;&gt;"&amp;A184)=0),"Sim","Não"))</f>
        <v/>
      </c>
      <c r="L184" s="13" t="str">
        <f>IF(OR(G184="",D184=""),"",IF(COUNTIFS('RESTRIÇÕES'!A:A,G184,'RESTRIÇÕES'!C:C,D184,'RESTRIÇÕES'!F:F,"Sim")&gt;0,"Com restrição","Sem restrição"))</f>
        <v/>
      </c>
      <c r="M184" s="13" t="str">
        <f t="shared" si="2"/>
        <v/>
      </c>
    </row>
    <row r="185" ht="15.75" customHeight="1">
      <c r="A185" s="11" t="str">
        <f t="shared" si="3"/>
        <v/>
      </c>
      <c r="B185" s="28"/>
      <c r="C185" s="11" t="str">
        <f t="shared" si="4"/>
        <v/>
      </c>
      <c r="D185" s="10"/>
      <c r="E185" s="19"/>
      <c r="F185" s="19"/>
      <c r="G185" s="10"/>
      <c r="H185" s="11" t="str">
        <f>IF(G185="","",IFERROR(VLOOKUP(G185,PROFESSORES!A:B,2,FALSE),""))</f>
        <v/>
      </c>
      <c r="I185" s="10"/>
      <c r="J185" s="10"/>
      <c r="K185" s="11" t="str">
        <f>IF(OR(G185="",C185="",E185="",F185="",I185=""),"",IF(AND((COUNTIFS(DISPONIBILIDADE!A:A,G185,DISPONIBILIDADE!C:C,C185,DISPONIBILIDADE!D:D,"&lt;="&amp;E185,DISPONIBILIDADE!E:E,"&gt;="&amp;F185,DISPONIBILIDADE!F:F,I185,DISPONIBILIDADE!G:G,"Sim")+COUNTIFS(DISPONIBILIDADE!A:A,G185,DISPONIBILIDADE!C:C,C185,DISPONIBILIDADE!D:D,"&lt;="&amp;E185,DISPONIBILIDADE!E:E,"&gt;="&amp;F185,DISPONIBILIDADE!F:F,"Ambas",DISPONIBILIDADE!G:G,"Sim"))&gt;0,COUNTIFS($G$3:$G$502,G185,$B$3:$B$502,B185,$E$3:$E$502,"&lt;"&amp;F185,$F$3:$F$502,"&gt;"&amp;E185,$A$3:$A$502,"&lt;&gt;"&amp;A185)=0),"Sim","Não"))</f>
        <v/>
      </c>
      <c r="L185" s="11" t="str">
        <f>IF(OR(G185="",D185=""),"",IF(COUNTIFS('RESTRIÇÕES'!A:A,G185,'RESTRIÇÕES'!C:C,D185,'RESTRIÇÕES'!F:F,"Sim")&gt;0,"Com restrição","Sem restrição"))</f>
        <v/>
      </c>
      <c r="M185" s="11" t="str">
        <f t="shared" si="2"/>
        <v/>
      </c>
    </row>
    <row r="186" ht="15.75" customHeight="1">
      <c r="A186" s="13" t="str">
        <f t="shared" si="3"/>
        <v/>
      </c>
      <c r="B186" s="27"/>
      <c r="C186" s="13" t="str">
        <f t="shared" si="4"/>
        <v/>
      </c>
      <c r="D186" s="12"/>
      <c r="E186" s="21"/>
      <c r="F186" s="21"/>
      <c r="G186" s="12"/>
      <c r="H186" s="13" t="str">
        <f>IF(G186="","",IFERROR(VLOOKUP(G186,PROFESSORES!A:B,2,FALSE),""))</f>
        <v/>
      </c>
      <c r="I186" s="12"/>
      <c r="J186" s="12"/>
      <c r="K186" s="13" t="str">
        <f>IF(OR(G186="",C186="",E186="",F186="",I186=""),"",IF(AND((COUNTIFS(DISPONIBILIDADE!A:A,G186,DISPONIBILIDADE!C:C,C186,DISPONIBILIDADE!D:D,"&lt;="&amp;E186,DISPONIBILIDADE!E:E,"&gt;="&amp;F186,DISPONIBILIDADE!F:F,I186,DISPONIBILIDADE!G:G,"Sim")+COUNTIFS(DISPONIBILIDADE!A:A,G186,DISPONIBILIDADE!C:C,C186,DISPONIBILIDADE!D:D,"&lt;="&amp;E186,DISPONIBILIDADE!E:E,"&gt;="&amp;F186,DISPONIBILIDADE!F:F,"Ambas",DISPONIBILIDADE!G:G,"Sim"))&gt;0,COUNTIFS($G$3:$G$502,G186,$B$3:$B$502,B186,$E$3:$E$502,"&lt;"&amp;F186,$F$3:$F$502,"&gt;"&amp;E186,$A$3:$A$502,"&lt;&gt;"&amp;A186)=0),"Sim","Não"))</f>
        <v/>
      </c>
      <c r="L186" s="13" t="str">
        <f>IF(OR(G186="",D186=""),"",IF(COUNTIFS('RESTRIÇÕES'!A:A,G186,'RESTRIÇÕES'!C:C,D186,'RESTRIÇÕES'!F:F,"Sim")&gt;0,"Com restrição","Sem restrição"))</f>
        <v/>
      </c>
      <c r="M186" s="13" t="str">
        <f t="shared" si="2"/>
        <v/>
      </c>
    </row>
    <row r="187" ht="15.75" customHeight="1">
      <c r="A187" s="11" t="str">
        <f t="shared" si="3"/>
        <v/>
      </c>
      <c r="B187" s="28"/>
      <c r="C187" s="11" t="str">
        <f t="shared" si="4"/>
        <v/>
      </c>
      <c r="D187" s="10"/>
      <c r="E187" s="19"/>
      <c r="F187" s="19"/>
      <c r="G187" s="10"/>
      <c r="H187" s="11" t="str">
        <f>IF(G187="","",IFERROR(VLOOKUP(G187,PROFESSORES!A:B,2,FALSE),""))</f>
        <v/>
      </c>
      <c r="I187" s="10"/>
      <c r="J187" s="10"/>
      <c r="K187" s="11" t="str">
        <f>IF(OR(G187="",C187="",E187="",F187="",I187=""),"",IF(AND((COUNTIFS(DISPONIBILIDADE!A:A,G187,DISPONIBILIDADE!C:C,C187,DISPONIBILIDADE!D:D,"&lt;="&amp;E187,DISPONIBILIDADE!E:E,"&gt;="&amp;F187,DISPONIBILIDADE!F:F,I187,DISPONIBILIDADE!G:G,"Sim")+COUNTIFS(DISPONIBILIDADE!A:A,G187,DISPONIBILIDADE!C:C,C187,DISPONIBILIDADE!D:D,"&lt;="&amp;E187,DISPONIBILIDADE!E:E,"&gt;="&amp;F187,DISPONIBILIDADE!F:F,"Ambas",DISPONIBILIDADE!G:G,"Sim"))&gt;0,COUNTIFS($G$3:$G$502,G187,$B$3:$B$502,B187,$E$3:$E$502,"&lt;"&amp;F187,$F$3:$F$502,"&gt;"&amp;E187,$A$3:$A$502,"&lt;&gt;"&amp;A187)=0),"Sim","Não"))</f>
        <v/>
      </c>
      <c r="L187" s="11" t="str">
        <f>IF(OR(G187="",D187=""),"",IF(COUNTIFS('RESTRIÇÕES'!A:A,G187,'RESTRIÇÕES'!C:C,D187,'RESTRIÇÕES'!F:F,"Sim")&gt;0,"Com restrição","Sem restrição"))</f>
        <v/>
      </c>
      <c r="M187" s="11" t="str">
        <f t="shared" si="2"/>
        <v/>
      </c>
    </row>
    <row r="188" ht="15.75" customHeight="1">
      <c r="A188" s="13" t="str">
        <f t="shared" si="3"/>
        <v/>
      </c>
      <c r="B188" s="27"/>
      <c r="C188" s="13" t="str">
        <f t="shared" si="4"/>
        <v/>
      </c>
      <c r="D188" s="12"/>
      <c r="E188" s="21"/>
      <c r="F188" s="21"/>
      <c r="G188" s="12"/>
      <c r="H188" s="13" t="str">
        <f>IF(G188="","",IFERROR(VLOOKUP(G188,PROFESSORES!A:B,2,FALSE),""))</f>
        <v/>
      </c>
      <c r="I188" s="12"/>
      <c r="J188" s="12"/>
      <c r="K188" s="13" t="str">
        <f>IF(OR(G188="",C188="",E188="",F188="",I188=""),"",IF(AND((COUNTIFS(DISPONIBILIDADE!A:A,G188,DISPONIBILIDADE!C:C,C188,DISPONIBILIDADE!D:D,"&lt;="&amp;E188,DISPONIBILIDADE!E:E,"&gt;="&amp;F188,DISPONIBILIDADE!F:F,I188,DISPONIBILIDADE!G:G,"Sim")+COUNTIFS(DISPONIBILIDADE!A:A,G188,DISPONIBILIDADE!C:C,C188,DISPONIBILIDADE!D:D,"&lt;="&amp;E188,DISPONIBILIDADE!E:E,"&gt;="&amp;F188,DISPONIBILIDADE!F:F,"Ambas",DISPONIBILIDADE!G:G,"Sim"))&gt;0,COUNTIFS($G$3:$G$502,G188,$B$3:$B$502,B188,$E$3:$E$502,"&lt;"&amp;F188,$F$3:$F$502,"&gt;"&amp;E188,$A$3:$A$502,"&lt;&gt;"&amp;A188)=0),"Sim","Não"))</f>
        <v/>
      </c>
      <c r="L188" s="13" t="str">
        <f>IF(OR(G188="",D188=""),"",IF(COUNTIFS('RESTRIÇÕES'!A:A,G188,'RESTRIÇÕES'!C:C,D188,'RESTRIÇÕES'!F:F,"Sim")&gt;0,"Com restrição","Sem restrição"))</f>
        <v/>
      </c>
      <c r="M188" s="13" t="str">
        <f t="shared" si="2"/>
        <v/>
      </c>
    </row>
    <row r="189" ht="15.75" customHeight="1">
      <c r="A189" s="11" t="str">
        <f t="shared" si="3"/>
        <v/>
      </c>
      <c r="B189" s="28"/>
      <c r="C189" s="11" t="str">
        <f t="shared" si="4"/>
        <v/>
      </c>
      <c r="D189" s="10"/>
      <c r="E189" s="19"/>
      <c r="F189" s="19"/>
      <c r="G189" s="10"/>
      <c r="H189" s="11" t="str">
        <f>IF(G189="","",IFERROR(VLOOKUP(G189,PROFESSORES!A:B,2,FALSE),""))</f>
        <v/>
      </c>
      <c r="I189" s="10"/>
      <c r="J189" s="10"/>
      <c r="K189" s="11" t="str">
        <f>IF(OR(G189="",C189="",E189="",F189="",I189=""),"",IF(AND((COUNTIFS(DISPONIBILIDADE!A:A,G189,DISPONIBILIDADE!C:C,C189,DISPONIBILIDADE!D:D,"&lt;="&amp;E189,DISPONIBILIDADE!E:E,"&gt;="&amp;F189,DISPONIBILIDADE!F:F,I189,DISPONIBILIDADE!G:G,"Sim")+COUNTIFS(DISPONIBILIDADE!A:A,G189,DISPONIBILIDADE!C:C,C189,DISPONIBILIDADE!D:D,"&lt;="&amp;E189,DISPONIBILIDADE!E:E,"&gt;="&amp;F189,DISPONIBILIDADE!F:F,"Ambas",DISPONIBILIDADE!G:G,"Sim"))&gt;0,COUNTIFS($G$3:$G$502,G189,$B$3:$B$502,B189,$E$3:$E$502,"&lt;"&amp;F189,$F$3:$F$502,"&gt;"&amp;E189,$A$3:$A$502,"&lt;&gt;"&amp;A189)=0),"Sim","Não"))</f>
        <v/>
      </c>
      <c r="L189" s="11" t="str">
        <f>IF(OR(G189="",D189=""),"",IF(COUNTIFS('RESTRIÇÕES'!A:A,G189,'RESTRIÇÕES'!C:C,D189,'RESTRIÇÕES'!F:F,"Sim")&gt;0,"Com restrição","Sem restrição"))</f>
        <v/>
      </c>
      <c r="M189" s="11" t="str">
        <f t="shared" si="2"/>
        <v/>
      </c>
    </row>
    <row r="190" ht="15.75" customHeight="1">
      <c r="A190" s="13" t="str">
        <f t="shared" si="3"/>
        <v/>
      </c>
      <c r="B190" s="27"/>
      <c r="C190" s="13" t="str">
        <f t="shared" si="4"/>
        <v/>
      </c>
      <c r="D190" s="12"/>
      <c r="E190" s="21"/>
      <c r="F190" s="21"/>
      <c r="G190" s="12"/>
      <c r="H190" s="13" t="str">
        <f>IF(G190="","",IFERROR(VLOOKUP(G190,PROFESSORES!A:B,2,FALSE),""))</f>
        <v/>
      </c>
      <c r="I190" s="12"/>
      <c r="J190" s="12"/>
      <c r="K190" s="13" t="str">
        <f>IF(OR(G190="",C190="",E190="",F190="",I190=""),"",IF(AND((COUNTIFS(DISPONIBILIDADE!A:A,G190,DISPONIBILIDADE!C:C,C190,DISPONIBILIDADE!D:D,"&lt;="&amp;E190,DISPONIBILIDADE!E:E,"&gt;="&amp;F190,DISPONIBILIDADE!F:F,I190,DISPONIBILIDADE!G:G,"Sim")+COUNTIFS(DISPONIBILIDADE!A:A,G190,DISPONIBILIDADE!C:C,C190,DISPONIBILIDADE!D:D,"&lt;="&amp;E190,DISPONIBILIDADE!E:E,"&gt;="&amp;F190,DISPONIBILIDADE!F:F,"Ambas",DISPONIBILIDADE!G:G,"Sim"))&gt;0,COUNTIFS($G$3:$G$502,G190,$B$3:$B$502,B190,$E$3:$E$502,"&lt;"&amp;F190,$F$3:$F$502,"&gt;"&amp;E190,$A$3:$A$502,"&lt;&gt;"&amp;A190)=0),"Sim","Não"))</f>
        <v/>
      </c>
      <c r="L190" s="13" t="str">
        <f>IF(OR(G190="",D190=""),"",IF(COUNTIFS('RESTRIÇÕES'!A:A,G190,'RESTRIÇÕES'!C:C,D190,'RESTRIÇÕES'!F:F,"Sim")&gt;0,"Com restrição","Sem restrição"))</f>
        <v/>
      </c>
      <c r="M190" s="13" t="str">
        <f t="shared" si="2"/>
        <v/>
      </c>
    </row>
    <row r="191" ht="15.75" customHeight="1">
      <c r="A191" s="11" t="str">
        <f t="shared" si="3"/>
        <v/>
      </c>
      <c r="B191" s="28"/>
      <c r="C191" s="11" t="str">
        <f t="shared" si="4"/>
        <v/>
      </c>
      <c r="D191" s="10"/>
      <c r="E191" s="19"/>
      <c r="F191" s="19"/>
      <c r="G191" s="10"/>
      <c r="H191" s="11" t="str">
        <f>IF(G191="","",IFERROR(VLOOKUP(G191,PROFESSORES!A:B,2,FALSE),""))</f>
        <v/>
      </c>
      <c r="I191" s="10"/>
      <c r="J191" s="10"/>
      <c r="K191" s="11" t="str">
        <f>IF(OR(G191="",C191="",E191="",F191="",I191=""),"",IF(AND((COUNTIFS(DISPONIBILIDADE!A:A,G191,DISPONIBILIDADE!C:C,C191,DISPONIBILIDADE!D:D,"&lt;="&amp;E191,DISPONIBILIDADE!E:E,"&gt;="&amp;F191,DISPONIBILIDADE!F:F,I191,DISPONIBILIDADE!G:G,"Sim")+COUNTIFS(DISPONIBILIDADE!A:A,G191,DISPONIBILIDADE!C:C,C191,DISPONIBILIDADE!D:D,"&lt;="&amp;E191,DISPONIBILIDADE!E:E,"&gt;="&amp;F191,DISPONIBILIDADE!F:F,"Ambas",DISPONIBILIDADE!G:G,"Sim"))&gt;0,COUNTIFS($G$3:$G$502,G191,$B$3:$B$502,B191,$E$3:$E$502,"&lt;"&amp;F191,$F$3:$F$502,"&gt;"&amp;E191,$A$3:$A$502,"&lt;&gt;"&amp;A191)=0),"Sim","Não"))</f>
        <v/>
      </c>
      <c r="L191" s="11" t="str">
        <f>IF(OR(G191="",D191=""),"",IF(COUNTIFS('RESTRIÇÕES'!A:A,G191,'RESTRIÇÕES'!C:C,D191,'RESTRIÇÕES'!F:F,"Sim")&gt;0,"Com restrição","Sem restrição"))</f>
        <v/>
      </c>
      <c r="M191" s="11" t="str">
        <f t="shared" si="2"/>
        <v/>
      </c>
    </row>
    <row r="192" ht="15.75" customHeight="1">
      <c r="A192" s="13" t="str">
        <f t="shared" si="3"/>
        <v/>
      </c>
      <c r="B192" s="27"/>
      <c r="C192" s="13" t="str">
        <f t="shared" si="4"/>
        <v/>
      </c>
      <c r="D192" s="12"/>
      <c r="E192" s="21"/>
      <c r="F192" s="21"/>
      <c r="G192" s="12"/>
      <c r="H192" s="13" t="str">
        <f>IF(G192="","",IFERROR(VLOOKUP(G192,PROFESSORES!A:B,2,FALSE),""))</f>
        <v/>
      </c>
      <c r="I192" s="12"/>
      <c r="J192" s="12"/>
      <c r="K192" s="13" t="str">
        <f>IF(OR(G192="",C192="",E192="",F192="",I192=""),"",IF(AND((COUNTIFS(DISPONIBILIDADE!A:A,G192,DISPONIBILIDADE!C:C,C192,DISPONIBILIDADE!D:D,"&lt;="&amp;E192,DISPONIBILIDADE!E:E,"&gt;="&amp;F192,DISPONIBILIDADE!F:F,I192,DISPONIBILIDADE!G:G,"Sim")+COUNTIFS(DISPONIBILIDADE!A:A,G192,DISPONIBILIDADE!C:C,C192,DISPONIBILIDADE!D:D,"&lt;="&amp;E192,DISPONIBILIDADE!E:E,"&gt;="&amp;F192,DISPONIBILIDADE!F:F,"Ambas",DISPONIBILIDADE!G:G,"Sim"))&gt;0,COUNTIFS($G$3:$G$502,G192,$B$3:$B$502,B192,$E$3:$E$502,"&lt;"&amp;F192,$F$3:$F$502,"&gt;"&amp;E192,$A$3:$A$502,"&lt;&gt;"&amp;A192)=0),"Sim","Não"))</f>
        <v/>
      </c>
      <c r="L192" s="13" t="str">
        <f>IF(OR(G192="",D192=""),"",IF(COUNTIFS('RESTRIÇÕES'!A:A,G192,'RESTRIÇÕES'!C:C,D192,'RESTRIÇÕES'!F:F,"Sim")&gt;0,"Com restrição","Sem restrição"))</f>
        <v/>
      </c>
      <c r="M192" s="13" t="str">
        <f t="shared" si="2"/>
        <v/>
      </c>
    </row>
    <row r="193" ht="15.75" customHeight="1">
      <c r="A193" s="11" t="str">
        <f t="shared" si="3"/>
        <v/>
      </c>
      <c r="B193" s="28"/>
      <c r="C193" s="11" t="str">
        <f t="shared" si="4"/>
        <v/>
      </c>
      <c r="D193" s="10"/>
      <c r="E193" s="19"/>
      <c r="F193" s="19"/>
      <c r="G193" s="10"/>
      <c r="H193" s="11" t="str">
        <f>IF(G193="","",IFERROR(VLOOKUP(G193,PROFESSORES!A:B,2,FALSE),""))</f>
        <v/>
      </c>
      <c r="I193" s="10"/>
      <c r="J193" s="10"/>
      <c r="K193" s="11" t="str">
        <f>IF(OR(G193="",C193="",E193="",F193="",I193=""),"",IF(AND((COUNTIFS(DISPONIBILIDADE!A:A,G193,DISPONIBILIDADE!C:C,C193,DISPONIBILIDADE!D:D,"&lt;="&amp;E193,DISPONIBILIDADE!E:E,"&gt;="&amp;F193,DISPONIBILIDADE!F:F,I193,DISPONIBILIDADE!G:G,"Sim")+COUNTIFS(DISPONIBILIDADE!A:A,G193,DISPONIBILIDADE!C:C,C193,DISPONIBILIDADE!D:D,"&lt;="&amp;E193,DISPONIBILIDADE!E:E,"&gt;="&amp;F193,DISPONIBILIDADE!F:F,"Ambas",DISPONIBILIDADE!G:G,"Sim"))&gt;0,COUNTIFS($G$3:$G$502,G193,$B$3:$B$502,B193,$E$3:$E$502,"&lt;"&amp;F193,$F$3:$F$502,"&gt;"&amp;E193,$A$3:$A$502,"&lt;&gt;"&amp;A193)=0),"Sim","Não"))</f>
        <v/>
      </c>
      <c r="L193" s="11" t="str">
        <f>IF(OR(G193="",D193=""),"",IF(COUNTIFS('RESTRIÇÕES'!A:A,G193,'RESTRIÇÕES'!C:C,D193,'RESTRIÇÕES'!F:F,"Sim")&gt;0,"Com restrição","Sem restrição"))</f>
        <v/>
      </c>
      <c r="M193" s="11" t="str">
        <f t="shared" si="2"/>
        <v/>
      </c>
    </row>
    <row r="194" ht="15.75" customHeight="1">
      <c r="A194" s="13" t="str">
        <f t="shared" si="3"/>
        <v/>
      </c>
      <c r="B194" s="27"/>
      <c r="C194" s="13" t="str">
        <f t="shared" si="4"/>
        <v/>
      </c>
      <c r="D194" s="12"/>
      <c r="E194" s="21"/>
      <c r="F194" s="21"/>
      <c r="G194" s="12"/>
      <c r="H194" s="13" t="str">
        <f>IF(G194="","",IFERROR(VLOOKUP(G194,PROFESSORES!A:B,2,FALSE),""))</f>
        <v/>
      </c>
      <c r="I194" s="12"/>
      <c r="J194" s="12"/>
      <c r="K194" s="13" t="str">
        <f>IF(OR(G194="",C194="",E194="",F194="",I194=""),"",IF(AND((COUNTIFS(DISPONIBILIDADE!A:A,G194,DISPONIBILIDADE!C:C,C194,DISPONIBILIDADE!D:D,"&lt;="&amp;E194,DISPONIBILIDADE!E:E,"&gt;="&amp;F194,DISPONIBILIDADE!F:F,I194,DISPONIBILIDADE!G:G,"Sim")+COUNTIFS(DISPONIBILIDADE!A:A,G194,DISPONIBILIDADE!C:C,C194,DISPONIBILIDADE!D:D,"&lt;="&amp;E194,DISPONIBILIDADE!E:E,"&gt;="&amp;F194,DISPONIBILIDADE!F:F,"Ambas",DISPONIBILIDADE!G:G,"Sim"))&gt;0,COUNTIFS($G$3:$G$502,G194,$B$3:$B$502,B194,$E$3:$E$502,"&lt;"&amp;F194,$F$3:$F$502,"&gt;"&amp;E194,$A$3:$A$502,"&lt;&gt;"&amp;A194)=0),"Sim","Não"))</f>
        <v/>
      </c>
      <c r="L194" s="13" t="str">
        <f>IF(OR(G194="",D194=""),"",IF(COUNTIFS('RESTRIÇÕES'!A:A,G194,'RESTRIÇÕES'!C:C,D194,'RESTRIÇÕES'!F:F,"Sim")&gt;0,"Com restrição","Sem restrição"))</f>
        <v/>
      </c>
      <c r="M194" s="13" t="str">
        <f t="shared" si="2"/>
        <v/>
      </c>
    </row>
    <row r="195" ht="15.75" customHeight="1">
      <c r="A195" s="11" t="str">
        <f t="shared" si="3"/>
        <v/>
      </c>
      <c r="B195" s="28"/>
      <c r="C195" s="11" t="str">
        <f t="shared" si="4"/>
        <v/>
      </c>
      <c r="D195" s="10"/>
      <c r="E195" s="19"/>
      <c r="F195" s="19"/>
      <c r="G195" s="10"/>
      <c r="H195" s="11" t="str">
        <f>IF(G195="","",IFERROR(VLOOKUP(G195,PROFESSORES!A:B,2,FALSE),""))</f>
        <v/>
      </c>
      <c r="I195" s="10"/>
      <c r="J195" s="10"/>
      <c r="K195" s="11" t="str">
        <f>IF(OR(G195="",C195="",E195="",F195="",I195=""),"",IF(AND((COUNTIFS(DISPONIBILIDADE!A:A,G195,DISPONIBILIDADE!C:C,C195,DISPONIBILIDADE!D:D,"&lt;="&amp;E195,DISPONIBILIDADE!E:E,"&gt;="&amp;F195,DISPONIBILIDADE!F:F,I195,DISPONIBILIDADE!G:G,"Sim")+COUNTIFS(DISPONIBILIDADE!A:A,G195,DISPONIBILIDADE!C:C,C195,DISPONIBILIDADE!D:D,"&lt;="&amp;E195,DISPONIBILIDADE!E:E,"&gt;="&amp;F195,DISPONIBILIDADE!F:F,"Ambas",DISPONIBILIDADE!G:G,"Sim"))&gt;0,COUNTIFS($G$3:$G$502,G195,$B$3:$B$502,B195,$E$3:$E$502,"&lt;"&amp;F195,$F$3:$F$502,"&gt;"&amp;E195,$A$3:$A$502,"&lt;&gt;"&amp;A195)=0),"Sim","Não"))</f>
        <v/>
      </c>
      <c r="L195" s="11" t="str">
        <f>IF(OR(G195="",D195=""),"",IF(COUNTIFS('RESTRIÇÕES'!A:A,G195,'RESTRIÇÕES'!C:C,D195,'RESTRIÇÕES'!F:F,"Sim")&gt;0,"Com restrição","Sem restrição"))</f>
        <v/>
      </c>
      <c r="M195" s="11" t="str">
        <f t="shared" si="2"/>
        <v/>
      </c>
    </row>
    <row r="196" ht="15.75" customHeight="1">
      <c r="A196" s="13" t="str">
        <f t="shared" si="3"/>
        <v/>
      </c>
      <c r="B196" s="27"/>
      <c r="C196" s="13" t="str">
        <f t="shared" si="4"/>
        <v/>
      </c>
      <c r="D196" s="12"/>
      <c r="E196" s="21"/>
      <c r="F196" s="21"/>
      <c r="G196" s="12"/>
      <c r="H196" s="13" t="str">
        <f>IF(G196="","",IFERROR(VLOOKUP(G196,PROFESSORES!A:B,2,FALSE),""))</f>
        <v/>
      </c>
      <c r="I196" s="12"/>
      <c r="J196" s="12"/>
      <c r="K196" s="13" t="str">
        <f>IF(OR(G196="",C196="",E196="",F196="",I196=""),"",IF(AND((COUNTIFS(DISPONIBILIDADE!A:A,G196,DISPONIBILIDADE!C:C,C196,DISPONIBILIDADE!D:D,"&lt;="&amp;E196,DISPONIBILIDADE!E:E,"&gt;="&amp;F196,DISPONIBILIDADE!F:F,I196,DISPONIBILIDADE!G:G,"Sim")+COUNTIFS(DISPONIBILIDADE!A:A,G196,DISPONIBILIDADE!C:C,C196,DISPONIBILIDADE!D:D,"&lt;="&amp;E196,DISPONIBILIDADE!E:E,"&gt;="&amp;F196,DISPONIBILIDADE!F:F,"Ambas",DISPONIBILIDADE!G:G,"Sim"))&gt;0,COUNTIFS($G$3:$G$502,G196,$B$3:$B$502,B196,$E$3:$E$502,"&lt;"&amp;F196,$F$3:$F$502,"&gt;"&amp;E196,$A$3:$A$502,"&lt;&gt;"&amp;A196)=0),"Sim","Não"))</f>
        <v/>
      </c>
      <c r="L196" s="13" t="str">
        <f>IF(OR(G196="",D196=""),"",IF(COUNTIFS('RESTRIÇÕES'!A:A,G196,'RESTRIÇÕES'!C:C,D196,'RESTRIÇÕES'!F:F,"Sim")&gt;0,"Com restrição","Sem restrição"))</f>
        <v/>
      </c>
      <c r="M196" s="13" t="str">
        <f t="shared" si="2"/>
        <v/>
      </c>
    </row>
    <row r="197" ht="15.75" customHeight="1">
      <c r="A197" s="11" t="str">
        <f t="shared" si="3"/>
        <v/>
      </c>
      <c r="B197" s="28"/>
      <c r="C197" s="11" t="str">
        <f t="shared" si="4"/>
        <v/>
      </c>
      <c r="D197" s="10"/>
      <c r="E197" s="19"/>
      <c r="F197" s="19"/>
      <c r="G197" s="10"/>
      <c r="H197" s="11" t="str">
        <f>IF(G197="","",IFERROR(VLOOKUP(G197,PROFESSORES!A:B,2,FALSE),""))</f>
        <v/>
      </c>
      <c r="I197" s="10"/>
      <c r="J197" s="10"/>
      <c r="K197" s="11" t="str">
        <f>IF(OR(G197="",C197="",E197="",F197="",I197=""),"",IF(AND((COUNTIFS(DISPONIBILIDADE!A:A,G197,DISPONIBILIDADE!C:C,C197,DISPONIBILIDADE!D:D,"&lt;="&amp;E197,DISPONIBILIDADE!E:E,"&gt;="&amp;F197,DISPONIBILIDADE!F:F,I197,DISPONIBILIDADE!G:G,"Sim")+COUNTIFS(DISPONIBILIDADE!A:A,G197,DISPONIBILIDADE!C:C,C197,DISPONIBILIDADE!D:D,"&lt;="&amp;E197,DISPONIBILIDADE!E:E,"&gt;="&amp;F197,DISPONIBILIDADE!F:F,"Ambas",DISPONIBILIDADE!G:G,"Sim"))&gt;0,COUNTIFS($G$3:$G$502,G197,$B$3:$B$502,B197,$E$3:$E$502,"&lt;"&amp;F197,$F$3:$F$502,"&gt;"&amp;E197,$A$3:$A$502,"&lt;&gt;"&amp;A197)=0),"Sim","Não"))</f>
        <v/>
      </c>
      <c r="L197" s="11" t="str">
        <f>IF(OR(G197="",D197=""),"",IF(COUNTIFS('RESTRIÇÕES'!A:A,G197,'RESTRIÇÕES'!C:C,D197,'RESTRIÇÕES'!F:F,"Sim")&gt;0,"Com restrição","Sem restrição"))</f>
        <v/>
      </c>
      <c r="M197" s="11" t="str">
        <f t="shared" si="2"/>
        <v/>
      </c>
    </row>
    <row r="198" ht="15.75" customHeight="1">
      <c r="A198" s="13" t="str">
        <f t="shared" si="3"/>
        <v/>
      </c>
      <c r="B198" s="27"/>
      <c r="C198" s="13" t="str">
        <f t="shared" si="4"/>
        <v/>
      </c>
      <c r="D198" s="12"/>
      <c r="E198" s="21"/>
      <c r="F198" s="21"/>
      <c r="G198" s="12"/>
      <c r="H198" s="13" t="str">
        <f>IF(G198="","",IFERROR(VLOOKUP(G198,PROFESSORES!A:B,2,FALSE),""))</f>
        <v/>
      </c>
      <c r="I198" s="12"/>
      <c r="J198" s="12"/>
      <c r="K198" s="13" t="str">
        <f>IF(OR(G198="",C198="",E198="",F198="",I198=""),"",IF(AND((COUNTIFS(DISPONIBILIDADE!A:A,G198,DISPONIBILIDADE!C:C,C198,DISPONIBILIDADE!D:D,"&lt;="&amp;E198,DISPONIBILIDADE!E:E,"&gt;="&amp;F198,DISPONIBILIDADE!F:F,I198,DISPONIBILIDADE!G:G,"Sim")+COUNTIFS(DISPONIBILIDADE!A:A,G198,DISPONIBILIDADE!C:C,C198,DISPONIBILIDADE!D:D,"&lt;="&amp;E198,DISPONIBILIDADE!E:E,"&gt;="&amp;F198,DISPONIBILIDADE!F:F,"Ambas",DISPONIBILIDADE!G:G,"Sim"))&gt;0,COUNTIFS($G$3:$G$502,G198,$B$3:$B$502,B198,$E$3:$E$502,"&lt;"&amp;F198,$F$3:$F$502,"&gt;"&amp;E198,$A$3:$A$502,"&lt;&gt;"&amp;A198)=0),"Sim","Não"))</f>
        <v/>
      </c>
      <c r="L198" s="13" t="str">
        <f>IF(OR(G198="",D198=""),"",IF(COUNTIFS('RESTRIÇÕES'!A:A,G198,'RESTRIÇÕES'!C:C,D198,'RESTRIÇÕES'!F:F,"Sim")&gt;0,"Com restrição","Sem restrição"))</f>
        <v/>
      </c>
      <c r="M198" s="13" t="str">
        <f t="shared" si="2"/>
        <v/>
      </c>
    </row>
    <row r="199" ht="15.75" customHeight="1">
      <c r="A199" s="11" t="str">
        <f t="shared" si="3"/>
        <v/>
      </c>
      <c r="B199" s="28"/>
      <c r="C199" s="11" t="str">
        <f t="shared" si="4"/>
        <v/>
      </c>
      <c r="D199" s="10"/>
      <c r="E199" s="19"/>
      <c r="F199" s="19"/>
      <c r="G199" s="10"/>
      <c r="H199" s="11" t="str">
        <f>IF(G199="","",IFERROR(VLOOKUP(G199,PROFESSORES!A:B,2,FALSE),""))</f>
        <v/>
      </c>
      <c r="I199" s="10"/>
      <c r="J199" s="10"/>
      <c r="K199" s="11" t="str">
        <f>IF(OR(G199="",C199="",E199="",F199="",I199=""),"",IF(AND((COUNTIFS(DISPONIBILIDADE!A:A,G199,DISPONIBILIDADE!C:C,C199,DISPONIBILIDADE!D:D,"&lt;="&amp;E199,DISPONIBILIDADE!E:E,"&gt;="&amp;F199,DISPONIBILIDADE!F:F,I199,DISPONIBILIDADE!G:G,"Sim")+COUNTIFS(DISPONIBILIDADE!A:A,G199,DISPONIBILIDADE!C:C,C199,DISPONIBILIDADE!D:D,"&lt;="&amp;E199,DISPONIBILIDADE!E:E,"&gt;="&amp;F199,DISPONIBILIDADE!F:F,"Ambas",DISPONIBILIDADE!G:G,"Sim"))&gt;0,COUNTIFS($G$3:$G$502,G199,$B$3:$B$502,B199,$E$3:$E$502,"&lt;"&amp;F199,$F$3:$F$502,"&gt;"&amp;E199,$A$3:$A$502,"&lt;&gt;"&amp;A199)=0),"Sim","Não"))</f>
        <v/>
      </c>
      <c r="L199" s="11" t="str">
        <f>IF(OR(G199="",D199=""),"",IF(COUNTIFS('RESTRIÇÕES'!A:A,G199,'RESTRIÇÕES'!C:C,D199,'RESTRIÇÕES'!F:F,"Sim")&gt;0,"Com restrição","Sem restrição"))</f>
        <v/>
      </c>
      <c r="M199" s="11" t="str">
        <f t="shared" si="2"/>
        <v/>
      </c>
    </row>
    <row r="200" ht="15.75" customHeight="1">
      <c r="A200" s="13" t="str">
        <f t="shared" si="3"/>
        <v/>
      </c>
      <c r="B200" s="27"/>
      <c r="C200" s="13" t="str">
        <f t="shared" si="4"/>
        <v/>
      </c>
      <c r="D200" s="12"/>
      <c r="E200" s="21"/>
      <c r="F200" s="21"/>
      <c r="G200" s="12"/>
      <c r="H200" s="13" t="str">
        <f>IF(G200="","",IFERROR(VLOOKUP(G200,PROFESSORES!A:B,2,FALSE),""))</f>
        <v/>
      </c>
      <c r="I200" s="12"/>
      <c r="J200" s="12"/>
      <c r="K200" s="13" t="str">
        <f>IF(OR(G200="",C200="",E200="",F200="",I200=""),"",IF(AND((COUNTIFS(DISPONIBILIDADE!A:A,G200,DISPONIBILIDADE!C:C,C200,DISPONIBILIDADE!D:D,"&lt;="&amp;E200,DISPONIBILIDADE!E:E,"&gt;="&amp;F200,DISPONIBILIDADE!F:F,I200,DISPONIBILIDADE!G:G,"Sim")+COUNTIFS(DISPONIBILIDADE!A:A,G200,DISPONIBILIDADE!C:C,C200,DISPONIBILIDADE!D:D,"&lt;="&amp;E200,DISPONIBILIDADE!E:E,"&gt;="&amp;F200,DISPONIBILIDADE!F:F,"Ambas",DISPONIBILIDADE!G:G,"Sim"))&gt;0,COUNTIFS($G$3:$G$502,G200,$B$3:$B$502,B200,$E$3:$E$502,"&lt;"&amp;F200,$F$3:$F$502,"&gt;"&amp;E200,$A$3:$A$502,"&lt;&gt;"&amp;A200)=0),"Sim","Não"))</f>
        <v/>
      </c>
      <c r="L200" s="13" t="str">
        <f>IF(OR(G200="",D200=""),"",IF(COUNTIFS('RESTRIÇÕES'!A:A,G200,'RESTRIÇÕES'!C:C,D200,'RESTRIÇÕES'!F:F,"Sim")&gt;0,"Com restrição","Sem restrição"))</f>
        <v/>
      </c>
      <c r="M200" s="13" t="str">
        <f t="shared" si="2"/>
        <v/>
      </c>
    </row>
    <row r="201" ht="15.75" customHeight="1">
      <c r="A201" s="11" t="str">
        <f t="shared" si="3"/>
        <v/>
      </c>
      <c r="B201" s="28"/>
      <c r="C201" s="11" t="str">
        <f t="shared" si="4"/>
        <v/>
      </c>
      <c r="D201" s="10"/>
      <c r="E201" s="19"/>
      <c r="F201" s="19"/>
      <c r="G201" s="10"/>
      <c r="H201" s="11" t="str">
        <f>IF(G201="","",IFERROR(VLOOKUP(G201,PROFESSORES!A:B,2,FALSE),""))</f>
        <v/>
      </c>
      <c r="I201" s="10"/>
      <c r="J201" s="10"/>
      <c r="K201" s="11" t="str">
        <f>IF(OR(G201="",C201="",E201="",F201="",I201=""),"",IF(AND((COUNTIFS(DISPONIBILIDADE!A:A,G201,DISPONIBILIDADE!C:C,C201,DISPONIBILIDADE!D:D,"&lt;="&amp;E201,DISPONIBILIDADE!E:E,"&gt;="&amp;F201,DISPONIBILIDADE!F:F,I201,DISPONIBILIDADE!G:G,"Sim")+COUNTIFS(DISPONIBILIDADE!A:A,G201,DISPONIBILIDADE!C:C,C201,DISPONIBILIDADE!D:D,"&lt;="&amp;E201,DISPONIBILIDADE!E:E,"&gt;="&amp;F201,DISPONIBILIDADE!F:F,"Ambas",DISPONIBILIDADE!G:G,"Sim"))&gt;0,COUNTIFS($G$3:$G$502,G201,$B$3:$B$502,B201,$E$3:$E$502,"&lt;"&amp;F201,$F$3:$F$502,"&gt;"&amp;E201,$A$3:$A$502,"&lt;&gt;"&amp;A201)=0),"Sim","Não"))</f>
        <v/>
      </c>
      <c r="L201" s="11" t="str">
        <f>IF(OR(G201="",D201=""),"",IF(COUNTIFS('RESTRIÇÕES'!A:A,G201,'RESTRIÇÕES'!C:C,D201,'RESTRIÇÕES'!F:F,"Sim")&gt;0,"Com restrição","Sem restrição"))</f>
        <v/>
      </c>
      <c r="M201" s="11" t="str">
        <f t="shared" si="2"/>
        <v/>
      </c>
    </row>
    <row r="202" ht="15.75" customHeight="1">
      <c r="A202" s="13" t="str">
        <f t="shared" si="3"/>
        <v/>
      </c>
      <c r="B202" s="27"/>
      <c r="C202" s="13" t="str">
        <f t="shared" si="4"/>
        <v/>
      </c>
      <c r="D202" s="12"/>
      <c r="E202" s="21"/>
      <c r="F202" s="21"/>
      <c r="G202" s="12"/>
      <c r="H202" s="13" t="str">
        <f>IF(G202="","",IFERROR(VLOOKUP(G202,PROFESSORES!A:B,2,FALSE),""))</f>
        <v/>
      </c>
      <c r="I202" s="12"/>
      <c r="J202" s="12"/>
      <c r="K202" s="13" t="str">
        <f>IF(OR(G202="",C202="",E202="",F202="",I202=""),"",IF(AND((COUNTIFS(DISPONIBILIDADE!A:A,G202,DISPONIBILIDADE!C:C,C202,DISPONIBILIDADE!D:D,"&lt;="&amp;E202,DISPONIBILIDADE!E:E,"&gt;="&amp;F202,DISPONIBILIDADE!F:F,I202,DISPONIBILIDADE!G:G,"Sim")+COUNTIFS(DISPONIBILIDADE!A:A,G202,DISPONIBILIDADE!C:C,C202,DISPONIBILIDADE!D:D,"&lt;="&amp;E202,DISPONIBILIDADE!E:E,"&gt;="&amp;F202,DISPONIBILIDADE!F:F,"Ambas",DISPONIBILIDADE!G:G,"Sim"))&gt;0,COUNTIFS($G$3:$G$502,G202,$B$3:$B$502,B202,$E$3:$E$502,"&lt;"&amp;F202,$F$3:$F$502,"&gt;"&amp;E202,$A$3:$A$502,"&lt;&gt;"&amp;A202)=0),"Sim","Não"))</f>
        <v/>
      </c>
      <c r="L202" s="13" t="str">
        <f>IF(OR(G202="",D202=""),"",IF(COUNTIFS('RESTRIÇÕES'!A:A,G202,'RESTRIÇÕES'!C:C,D202,'RESTRIÇÕES'!F:F,"Sim")&gt;0,"Com restrição","Sem restrição"))</f>
        <v/>
      </c>
      <c r="M202" s="13" t="str">
        <f t="shared" si="2"/>
        <v/>
      </c>
    </row>
    <row r="203" ht="15.75" customHeight="1">
      <c r="A203" s="11" t="str">
        <f t="shared" si="3"/>
        <v/>
      </c>
      <c r="B203" s="28"/>
      <c r="C203" s="11" t="str">
        <f t="shared" si="4"/>
        <v/>
      </c>
      <c r="D203" s="10"/>
      <c r="E203" s="19"/>
      <c r="F203" s="19"/>
      <c r="G203" s="10"/>
      <c r="H203" s="11" t="str">
        <f>IF(G203="","",IFERROR(VLOOKUP(G203,PROFESSORES!A:B,2,FALSE),""))</f>
        <v/>
      </c>
      <c r="I203" s="10"/>
      <c r="J203" s="10"/>
      <c r="K203" s="11" t="str">
        <f>IF(OR(G203="",C203="",E203="",F203="",I203=""),"",IF(AND((COUNTIFS(DISPONIBILIDADE!A:A,G203,DISPONIBILIDADE!C:C,C203,DISPONIBILIDADE!D:D,"&lt;="&amp;E203,DISPONIBILIDADE!E:E,"&gt;="&amp;F203,DISPONIBILIDADE!F:F,I203,DISPONIBILIDADE!G:G,"Sim")+COUNTIFS(DISPONIBILIDADE!A:A,G203,DISPONIBILIDADE!C:C,C203,DISPONIBILIDADE!D:D,"&lt;="&amp;E203,DISPONIBILIDADE!E:E,"&gt;="&amp;F203,DISPONIBILIDADE!F:F,"Ambas",DISPONIBILIDADE!G:G,"Sim"))&gt;0,COUNTIFS($G$3:$G$502,G203,$B$3:$B$502,B203,$E$3:$E$502,"&lt;"&amp;F203,$F$3:$F$502,"&gt;"&amp;E203,$A$3:$A$502,"&lt;&gt;"&amp;A203)=0),"Sim","Não"))</f>
        <v/>
      </c>
      <c r="L203" s="11" t="str">
        <f>IF(OR(G203="",D203=""),"",IF(COUNTIFS('RESTRIÇÕES'!A:A,G203,'RESTRIÇÕES'!C:C,D203,'RESTRIÇÕES'!F:F,"Sim")&gt;0,"Com restrição","Sem restrição"))</f>
        <v/>
      </c>
      <c r="M203" s="11" t="str">
        <f t="shared" si="2"/>
        <v/>
      </c>
    </row>
    <row r="204" ht="15.75" customHeight="1">
      <c r="A204" s="13" t="str">
        <f t="shared" si="3"/>
        <v/>
      </c>
      <c r="B204" s="27"/>
      <c r="C204" s="13" t="str">
        <f t="shared" si="4"/>
        <v/>
      </c>
      <c r="D204" s="12"/>
      <c r="E204" s="21"/>
      <c r="F204" s="21"/>
      <c r="G204" s="12"/>
      <c r="H204" s="13" t="str">
        <f>IF(G204="","",IFERROR(VLOOKUP(G204,PROFESSORES!A:B,2,FALSE),""))</f>
        <v/>
      </c>
      <c r="I204" s="12"/>
      <c r="J204" s="12"/>
      <c r="K204" s="13" t="str">
        <f>IF(OR(G204="",C204="",E204="",F204="",I204=""),"",IF(AND((COUNTIFS(DISPONIBILIDADE!A:A,G204,DISPONIBILIDADE!C:C,C204,DISPONIBILIDADE!D:D,"&lt;="&amp;E204,DISPONIBILIDADE!E:E,"&gt;="&amp;F204,DISPONIBILIDADE!F:F,I204,DISPONIBILIDADE!G:G,"Sim")+COUNTIFS(DISPONIBILIDADE!A:A,G204,DISPONIBILIDADE!C:C,C204,DISPONIBILIDADE!D:D,"&lt;="&amp;E204,DISPONIBILIDADE!E:E,"&gt;="&amp;F204,DISPONIBILIDADE!F:F,"Ambas",DISPONIBILIDADE!G:G,"Sim"))&gt;0,COUNTIFS($G$3:$G$502,G204,$B$3:$B$502,B204,$E$3:$E$502,"&lt;"&amp;F204,$F$3:$F$502,"&gt;"&amp;E204,$A$3:$A$502,"&lt;&gt;"&amp;A204)=0),"Sim","Não"))</f>
        <v/>
      </c>
      <c r="L204" s="13" t="str">
        <f>IF(OR(G204="",D204=""),"",IF(COUNTIFS('RESTRIÇÕES'!A:A,G204,'RESTRIÇÕES'!C:C,D204,'RESTRIÇÕES'!F:F,"Sim")&gt;0,"Com restrição","Sem restrição"))</f>
        <v/>
      </c>
      <c r="M204" s="13" t="str">
        <f t="shared" si="2"/>
        <v/>
      </c>
    </row>
    <row r="205" ht="15.75" customHeight="1">
      <c r="A205" s="11" t="str">
        <f t="shared" si="3"/>
        <v/>
      </c>
      <c r="B205" s="28"/>
      <c r="C205" s="11" t="str">
        <f t="shared" si="4"/>
        <v/>
      </c>
      <c r="D205" s="10"/>
      <c r="E205" s="19"/>
      <c r="F205" s="19"/>
      <c r="G205" s="10"/>
      <c r="H205" s="11" t="str">
        <f>IF(G205="","",IFERROR(VLOOKUP(G205,PROFESSORES!A:B,2,FALSE),""))</f>
        <v/>
      </c>
      <c r="I205" s="10"/>
      <c r="J205" s="10"/>
      <c r="K205" s="11" t="str">
        <f>IF(OR(G205="",C205="",E205="",F205="",I205=""),"",IF(AND((COUNTIFS(DISPONIBILIDADE!A:A,G205,DISPONIBILIDADE!C:C,C205,DISPONIBILIDADE!D:D,"&lt;="&amp;E205,DISPONIBILIDADE!E:E,"&gt;="&amp;F205,DISPONIBILIDADE!F:F,I205,DISPONIBILIDADE!G:G,"Sim")+COUNTIFS(DISPONIBILIDADE!A:A,G205,DISPONIBILIDADE!C:C,C205,DISPONIBILIDADE!D:D,"&lt;="&amp;E205,DISPONIBILIDADE!E:E,"&gt;="&amp;F205,DISPONIBILIDADE!F:F,"Ambas",DISPONIBILIDADE!G:G,"Sim"))&gt;0,COUNTIFS($G$3:$G$502,G205,$B$3:$B$502,B205,$E$3:$E$502,"&lt;"&amp;F205,$F$3:$F$502,"&gt;"&amp;E205,$A$3:$A$502,"&lt;&gt;"&amp;A205)=0),"Sim","Não"))</f>
        <v/>
      </c>
      <c r="L205" s="11" t="str">
        <f>IF(OR(G205="",D205=""),"",IF(COUNTIFS('RESTRIÇÕES'!A:A,G205,'RESTRIÇÕES'!C:C,D205,'RESTRIÇÕES'!F:F,"Sim")&gt;0,"Com restrição","Sem restrição"))</f>
        <v/>
      </c>
      <c r="M205" s="11" t="str">
        <f t="shared" si="2"/>
        <v/>
      </c>
    </row>
    <row r="206" ht="15.75" customHeight="1">
      <c r="A206" s="13" t="str">
        <f t="shared" si="3"/>
        <v/>
      </c>
      <c r="B206" s="27"/>
      <c r="C206" s="13" t="str">
        <f t="shared" si="4"/>
        <v/>
      </c>
      <c r="D206" s="12"/>
      <c r="E206" s="21"/>
      <c r="F206" s="21"/>
      <c r="G206" s="12"/>
      <c r="H206" s="13" t="str">
        <f>IF(G206="","",IFERROR(VLOOKUP(G206,PROFESSORES!A:B,2,FALSE),""))</f>
        <v/>
      </c>
      <c r="I206" s="12"/>
      <c r="J206" s="12"/>
      <c r="K206" s="13" t="str">
        <f>IF(OR(G206="",C206="",E206="",F206="",I206=""),"",IF(AND((COUNTIFS(DISPONIBILIDADE!A:A,G206,DISPONIBILIDADE!C:C,C206,DISPONIBILIDADE!D:D,"&lt;="&amp;E206,DISPONIBILIDADE!E:E,"&gt;="&amp;F206,DISPONIBILIDADE!F:F,I206,DISPONIBILIDADE!G:G,"Sim")+COUNTIFS(DISPONIBILIDADE!A:A,G206,DISPONIBILIDADE!C:C,C206,DISPONIBILIDADE!D:D,"&lt;="&amp;E206,DISPONIBILIDADE!E:E,"&gt;="&amp;F206,DISPONIBILIDADE!F:F,"Ambas",DISPONIBILIDADE!G:G,"Sim"))&gt;0,COUNTIFS($G$3:$G$502,G206,$B$3:$B$502,B206,$E$3:$E$502,"&lt;"&amp;F206,$F$3:$F$502,"&gt;"&amp;E206,$A$3:$A$502,"&lt;&gt;"&amp;A206)=0),"Sim","Não"))</f>
        <v/>
      </c>
      <c r="L206" s="13" t="str">
        <f>IF(OR(G206="",D206=""),"",IF(COUNTIFS('RESTRIÇÕES'!A:A,G206,'RESTRIÇÕES'!C:C,D206,'RESTRIÇÕES'!F:F,"Sim")&gt;0,"Com restrição","Sem restrição"))</f>
        <v/>
      </c>
      <c r="M206" s="13" t="str">
        <f t="shared" si="2"/>
        <v/>
      </c>
    </row>
    <row r="207" ht="15.75" customHeight="1">
      <c r="A207" s="11" t="str">
        <f t="shared" si="3"/>
        <v/>
      </c>
      <c r="B207" s="28"/>
      <c r="C207" s="11" t="str">
        <f t="shared" si="4"/>
        <v/>
      </c>
      <c r="D207" s="10"/>
      <c r="E207" s="19"/>
      <c r="F207" s="19"/>
      <c r="G207" s="10"/>
      <c r="H207" s="11" t="str">
        <f>IF(G207="","",IFERROR(VLOOKUP(G207,PROFESSORES!A:B,2,FALSE),""))</f>
        <v/>
      </c>
      <c r="I207" s="10"/>
      <c r="J207" s="10"/>
      <c r="K207" s="11" t="str">
        <f>IF(OR(G207="",C207="",E207="",F207="",I207=""),"",IF(AND((COUNTIFS(DISPONIBILIDADE!A:A,G207,DISPONIBILIDADE!C:C,C207,DISPONIBILIDADE!D:D,"&lt;="&amp;E207,DISPONIBILIDADE!E:E,"&gt;="&amp;F207,DISPONIBILIDADE!F:F,I207,DISPONIBILIDADE!G:G,"Sim")+COUNTIFS(DISPONIBILIDADE!A:A,G207,DISPONIBILIDADE!C:C,C207,DISPONIBILIDADE!D:D,"&lt;="&amp;E207,DISPONIBILIDADE!E:E,"&gt;="&amp;F207,DISPONIBILIDADE!F:F,"Ambas",DISPONIBILIDADE!G:G,"Sim"))&gt;0,COUNTIFS($G$3:$G$502,G207,$B$3:$B$502,B207,$E$3:$E$502,"&lt;"&amp;F207,$F$3:$F$502,"&gt;"&amp;E207,$A$3:$A$502,"&lt;&gt;"&amp;A207)=0),"Sim","Não"))</f>
        <v/>
      </c>
      <c r="L207" s="11" t="str">
        <f>IF(OR(G207="",D207=""),"",IF(COUNTIFS('RESTRIÇÕES'!A:A,G207,'RESTRIÇÕES'!C:C,D207,'RESTRIÇÕES'!F:F,"Sim")&gt;0,"Com restrição","Sem restrição"))</f>
        <v/>
      </c>
      <c r="M207" s="11" t="str">
        <f t="shared" si="2"/>
        <v/>
      </c>
    </row>
    <row r="208" ht="15.75" customHeight="1">
      <c r="A208" s="13" t="str">
        <f t="shared" si="3"/>
        <v/>
      </c>
      <c r="B208" s="27"/>
      <c r="C208" s="13" t="str">
        <f t="shared" si="4"/>
        <v/>
      </c>
      <c r="D208" s="12"/>
      <c r="E208" s="21"/>
      <c r="F208" s="21"/>
      <c r="G208" s="12"/>
      <c r="H208" s="13" t="str">
        <f>IF(G208="","",IFERROR(VLOOKUP(G208,PROFESSORES!A:B,2,FALSE),""))</f>
        <v/>
      </c>
      <c r="I208" s="12"/>
      <c r="J208" s="12"/>
      <c r="K208" s="13" t="str">
        <f>IF(OR(G208="",C208="",E208="",F208="",I208=""),"",IF(AND((COUNTIFS(DISPONIBILIDADE!A:A,G208,DISPONIBILIDADE!C:C,C208,DISPONIBILIDADE!D:D,"&lt;="&amp;E208,DISPONIBILIDADE!E:E,"&gt;="&amp;F208,DISPONIBILIDADE!F:F,I208,DISPONIBILIDADE!G:G,"Sim")+COUNTIFS(DISPONIBILIDADE!A:A,G208,DISPONIBILIDADE!C:C,C208,DISPONIBILIDADE!D:D,"&lt;="&amp;E208,DISPONIBILIDADE!E:E,"&gt;="&amp;F208,DISPONIBILIDADE!F:F,"Ambas",DISPONIBILIDADE!G:G,"Sim"))&gt;0,COUNTIFS($G$3:$G$502,G208,$B$3:$B$502,B208,$E$3:$E$502,"&lt;"&amp;F208,$F$3:$F$502,"&gt;"&amp;E208,$A$3:$A$502,"&lt;&gt;"&amp;A208)=0),"Sim","Não"))</f>
        <v/>
      </c>
      <c r="L208" s="13" t="str">
        <f>IF(OR(G208="",D208=""),"",IF(COUNTIFS('RESTRIÇÕES'!A:A,G208,'RESTRIÇÕES'!C:C,D208,'RESTRIÇÕES'!F:F,"Sim")&gt;0,"Com restrição","Sem restrição"))</f>
        <v/>
      </c>
      <c r="M208" s="13" t="str">
        <f t="shared" si="2"/>
        <v/>
      </c>
    </row>
    <row r="209" ht="15.75" customHeight="1">
      <c r="A209" s="11" t="str">
        <f t="shared" si="3"/>
        <v/>
      </c>
      <c r="B209" s="28"/>
      <c r="C209" s="11" t="str">
        <f t="shared" si="4"/>
        <v/>
      </c>
      <c r="D209" s="10"/>
      <c r="E209" s="19"/>
      <c r="F209" s="19"/>
      <c r="G209" s="10"/>
      <c r="H209" s="11" t="str">
        <f>IF(G209="","",IFERROR(VLOOKUP(G209,PROFESSORES!A:B,2,FALSE),""))</f>
        <v/>
      </c>
      <c r="I209" s="10"/>
      <c r="J209" s="10"/>
      <c r="K209" s="11" t="str">
        <f>IF(OR(G209="",C209="",E209="",F209="",I209=""),"",IF(AND((COUNTIFS(DISPONIBILIDADE!A:A,G209,DISPONIBILIDADE!C:C,C209,DISPONIBILIDADE!D:D,"&lt;="&amp;E209,DISPONIBILIDADE!E:E,"&gt;="&amp;F209,DISPONIBILIDADE!F:F,I209,DISPONIBILIDADE!G:G,"Sim")+COUNTIFS(DISPONIBILIDADE!A:A,G209,DISPONIBILIDADE!C:C,C209,DISPONIBILIDADE!D:D,"&lt;="&amp;E209,DISPONIBILIDADE!E:E,"&gt;="&amp;F209,DISPONIBILIDADE!F:F,"Ambas",DISPONIBILIDADE!G:G,"Sim"))&gt;0,COUNTIFS($G$3:$G$502,G209,$B$3:$B$502,B209,$E$3:$E$502,"&lt;"&amp;F209,$F$3:$F$502,"&gt;"&amp;E209,$A$3:$A$502,"&lt;&gt;"&amp;A209)=0),"Sim","Não"))</f>
        <v/>
      </c>
      <c r="L209" s="11" t="str">
        <f>IF(OR(G209="",D209=""),"",IF(COUNTIFS('RESTRIÇÕES'!A:A,G209,'RESTRIÇÕES'!C:C,D209,'RESTRIÇÕES'!F:F,"Sim")&gt;0,"Com restrição","Sem restrição"))</f>
        <v/>
      </c>
      <c r="M209" s="11" t="str">
        <f t="shared" si="2"/>
        <v/>
      </c>
    </row>
    <row r="210" ht="15.75" customHeight="1">
      <c r="A210" s="13" t="str">
        <f t="shared" si="3"/>
        <v/>
      </c>
      <c r="B210" s="27"/>
      <c r="C210" s="13" t="str">
        <f t="shared" si="4"/>
        <v/>
      </c>
      <c r="D210" s="12"/>
      <c r="E210" s="21"/>
      <c r="F210" s="21"/>
      <c r="G210" s="12"/>
      <c r="H210" s="13" t="str">
        <f>IF(G210="","",IFERROR(VLOOKUP(G210,PROFESSORES!A:B,2,FALSE),""))</f>
        <v/>
      </c>
      <c r="I210" s="12"/>
      <c r="J210" s="12"/>
      <c r="K210" s="13" t="str">
        <f>IF(OR(G210="",C210="",E210="",F210="",I210=""),"",IF(AND((COUNTIFS(DISPONIBILIDADE!A:A,G210,DISPONIBILIDADE!C:C,C210,DISPONIBILIDADE!D:D,"&lt;="&amp;E210,DISPONIBILIDADE!E:E,"&gt;="&amp;F210,DISPONIBILIDADE!F:F,I210,DISPONIBILIDADE!G:G,"Sim")+COUNTIFS(DISPONIBILIDADE!A:A,G210,DISPONIBILIDADE!C:C,C210,DISPONIBILIDADE!D:D,"&lt;="&amp;E210,DISPONIBILIDADE!E:E,"&gt;="&amp;F210,DISPONIBILIDADE!F:F,"Ambas",DISPONIBILIDADE!G:G,"Sim"))&gt;0,COUNTIFS($G$3:$G$502,G210,$B$3:$B$502,B210,$E$3:$E$502,"&lt;"&amp;F210,$F$3:$F$502,"&gt;"&amp;E210,$A$3:$A$502,"&lt;&gt;"&amp;A210)=0),"Sim","Não"))</f>
        <v/>
      </c>
      <c r="L210" s="13" t="str">
        <f>IF(OR(G210="",D210=""),"",IF(COUNTIFS('RESTRIÇÕES'!A:A,G210,'RESTRIÇÕES'!C:C,D210,'RESTRIÇÕES'!F:F,"Sim")&gt;0,"Com restrição","Sem restrição"))</f>
        <v/>
      </c>
      <c r="M210" s="13" t="str">
        <f t="shared" si="2"/>
        <v/>
      </c>
    </row>
    <row r="211" ht="15.75" customHeight="1">
      <c r="A211" s="11" t="str">
        <f t="shared" si="3"/>
        <v/>
      </c>
      <c r="B211" s="28"/>
      <c r="C211" s="11" t="str">
        <f t="shared" si="4"/>
        <v/>
      </c>
      <c r="D211" s="10"/>
      <c r="E211" s="19"/>
      <c r="F211" s="19"/>
      <c r="G211" s="10"/>
      <c r="H211" s="11" t="str">
        <f>IF(G211="","",IFERROR(VLOOKUP(G211,PROFESSORES!A:B,2,FALSE),""))</f>
        <v/>
      </c>
      <c r="I211" s="10"/>
      <c r="J211" s="10"/>
      <c r="K211" s="11" t="str">
        <f>IF(OR(G211="",C211="",E211="",F211="",I211=""),"",IF(AND((COUNTIFS(DISPONIBILIDADE!A:A,G211,DISPONIBILIDADE!C:C,C211,DISPONIBILIDADE!D:D,"&lt;="&amp;E211,DISPONIBILIDADE!E:E,"&gt;="&amp;F211,DISPONIBILIDADE!F:F,I211,DISPONIBILIDADE!G:G,"Sim")+COUNTIFS(DISPONIBILIDADE!A:A,G211,DISPONIBILIDADE!C:C,C211,DISPONIBILIDADE!D:D,"&lt;="&amp;E211,DISPONIBILIDADE!E:E,"&gt;="&amp;F211,DISPONIBILIDADE!F:F,"Ambas",DISPONIBILIDADE!G:G,"Sim"))&gt;0,COUNTIFS($G$3:$G$502,G211,$B$3:$B$502,B211,$E$3:$E$502,"&lt;"&amp;F211,$F$3:$F$502,"&gt;"&amp;E211,$A$3:$A$502,"&lt;&gt;"&amp;A211)=0),"Sim","Não"))</f>
        <v/>
      </c>
      <c r="L211" s="11" t="str">
        <f>IF(OR(G211="",D211=""),"",IF(COUNTIFS('RESTRIÇÕES'!A:A,G211,'RESTRIÇÕES'!C:C,D211,'RESTRIÇÕES'!F:F,"Sim")&gt;0,"Com restrição","Sem restrição"))</f>
        <v/>
      </c>
      <c r="M211" s="11" t="str">
        <f t="shared" si="2"/>
        <v/>
      </c>
    </row>
    <row r="212" ht="15.75" customHeight="1">
      <c r="A212" s="13" t="str">
        <f t="shared" si="3"/>
        <v/>
      </c>
      <c r="B212" s="27"/>
      <c r="C212" s="13" t="str">
        <f t="shared" si="4"/>
        <v/>
      </c>
      <c r="D212" s="12"/>
      <c r="E212" s="21"/>
      <c r="F212" s="21"/>
      <c r="G212" s="12"/>
      <c r="H212" s="13" t="str">
        <f>IF(G212="","",IFERROR(VLOOKUP(G212,PROFESSORES!A:B,2,FALSE),""))</f>
        <v/>
      </c>
      <c r="I212" s="12"/>
      <c r="J212" s="12"/>
      <c r="K212" s="13" t="str">
        <f>IF(OR(G212="",C212="",E212="",F212="",I212=""),"",IF(AND((COUNTIFS(DISPONIBILIDADE!A:A,G212,DISPONIBILIDADE!C:C,C212,DISPONIBILIDADE!D:D,"&lt;="&amp;E212,DISPONIBILIDADE!E:E,"&gt;="&amp;F212,DISPONIBILIDADE!F:F,I212,DISPONIBILIDADE!G:G,"Sim")+COUNTIFS(DISPONIBILIDADE!A:A,G212,DISPONIBILIDADE!C:C,C212,DISPONIBILIDADE!D:D,"&lt;="&amp;E212,DISPONIBILIDADE!E:E,"&gt;="&amp;F212,DISPONIBILIDADE!F:F,"Ambas",DISPONIBILIDADE!G:G,"Sim"))&gt;0,COUNTIFS($G$3:$G$502,G212,$B$3:$B$502,B212,$E$3:$E$502,"&lt;"&amp;F212,$F$3:$F$502,"&gt;"&amp;E212,$A$3:$A$502,"&lt;&gt;"&amp;A212)=0),"Sim","Não"))</f>
        <v/>
      </c>
      <c r="L212" s="13" t="str">
        <f>IF(OR(G212="",D212=""),"",IF(COUNTIFS('RESTRIÇÕES'!A:A,G212,'RESTRIÇÕES'!C:C,D212,'RESTRIÇÕES'!F:F,"Sim")&gt;0,"Com restrição","Sem restrição"))</f>
        <v/>
      </c>
      <c r="M212" s="13" t="str">
        <f t="shared" si="2"/>
        <v/>
      </c>
    </row>
    <row r="213" ht="15.75" customHeight="1">
      <c r="A213" s="11" t="str">
        <f t="shared" si="3"/>
        <v/>
      </c>
      <c r="B213" s="28"/>
      <c r="C213" s="11" t="str">
        <f t="shared" si="4"/>
        <v/>
      </c>
      <c r="D213" s="10"/>
      <c r="E213" s="19"/>
      <c r="F213" s="19"/>
      <c r="G213" s="10"/>
      <c r="H213" s="11" t="str">
        <f>IF(G213="","",IFERROR(VLOOKUP(G213,PROFESSORES!A:B,2,FALSE),""))</f>
        <v/>
      </c>
      <c r="I213" s="10"/>
      <c r="J213" s="10"/>
      <c r="K213" s="11" t="str">
        <f>IF(OR(G213="",C213="",E213="",F213="",I213=""),"",IF(AND((COUNTIFS(DISPONIBILIDADE!A:A,G213,DISPONIBILIDADE!C:C,C213,DISPONIBILIDADE!D:D,"&lt;="&amp;E213,DISPONIBILIDADE!E:E,"&gt;="&amp;F213,DISPONIBILIDADE!F:F,I213,DISPONIBILIDADE!G:G,"Sim")+COUNTIFS(DISPONIBILIDADE!A:A,G213,DISPONIBILIDADE!C:C,C213,DISPONIBILIDADE!D:D,"&lt;="&amp;E213,DISPONIBILIDADE!E:E,"&gt;="&amp;F213,DISPONIBILIDADE!F:F,"Ambas",DISPONIBILIDADE!G:G,"Sim"))&gt;0,COUNTIFS($G$3:$G$502,G213,$B$3:$B$502,B213,$E$3:$E$502,"&lt;"&amp;F213,$F$3:$F$502,"&gt;"&amp;E213,$A$3:$A$502,"&lt;&gt;"&amp;A213)=0),"Sim","Não"))</f>
        <v/>
      </c>
      <c r="L213" s="11" t="str">
        <f>IF(OR(G213="",D213=""),"",IF(COUNTIFS('RESTRIÇÕES'!A:A,G213,'RESTRIÇÕES'!C:C,D213,'RESTRIÇÕES'!F:F,"Sim")&gt;0,"Com restrição","Sem restrição"))</f>
        <v/>
      </c>
      <c r="M213" s="11" t="str">
        <f t="shared" si="2"/>
        <v/>
      </c>
    </row>
    <row r="214" ht="15.75" customHeight="1">
      <c r="A214" s="13" t="str">
        <f t="shared" si="3"/>
        <v/>
      </c>
      <c r="B214" s="27"/>
      <c r="C214" s="13" t="str">
        <f t="shared" si="4"/>
        <v/>
      </c>
      <c r="D214" s="12"/>
      <c r="E214" s="21"/>
      <c r="F214" s="21"/>
      <c r="G214" s="12"/>
      <c r="H214" s="13" t="str">
        <f>IF(G214="","",IFERROR(VLOOKUP(G214,PROFESSORES!A:B,2,FALSE),""))</f>
        <v/>
      </c>
      <c r="I214" s="12"/>
      <c r="J214" s="12"/>
      <c r="K214" s="13" t="str">
        <f>IF(OR(G214="",C214="",E214="",F214="",I214=""),"",IF(AND((COUNTIFS(DISPONIBILIDADE!A:A,G214,DISPONIBILIDADE!C:C,C214,DISPONIBILIDADE!D:D,"&lt;="&amp;E214,DISPONIBILIDADE!E:E,"&gt;="&amp;F214,DISPONIBILIDADE!F:F,I214,DISPONIBILIDADE!G:G,"Sim")+COUNTIFS(DISPONIBILIDADE!A:A,G214,DISPONIBILIDADE!C:C,C214,DISPONIBILIDADE!D:D,"&lt;="&amp;E214,DISPONIBILIDADE!E:E,"&gt;="&amp;F214,DISPONIBILIDADE!F:F,"Ambas",DISPONIBILIDADE!G:G,"Sim"))&gt;0,COUNTIFS($G$3:$G$502,G214,$B$3:$B$502,B214,$E$3:$E$502,"&lt;"&amp;F214,$F$3:$F$502,"&gt;"&amp;E214,$A$3:$A$502,"&lt;&gt;"&amp;A214)=0),"Sim","Não"))</f>
        <v/>
      </c>
      <c r="L214" s="13" t="str">
        <f>IF(OR(G214="",D214=""),"",IF(COUNTIFS('RESTRIÇÕES'!A:A,G214,'RESTRIÇÕES'!C:C,D214,'RESTRIÇÕES'!F:F,"Sim")&gt;0,"Com restrição","Sem restrição"))</f>
        <v/>
      </c>
      <c r="M214" s="13" t="str">
        <f t="shared" si="2"/>
        <v/>
      </c>
    </row>
    <row r="215" ht="15.75" customHeight="1">
      <c r="A215" s="11" t="str">
        <f t="shared" si="3"/>
        <v/>
      </c>
      <c r="B215" s="28"/>
      <c r="C215" s="11" t="str">
        <f t="shared" si="4"/>
        <v/>
      </c>
      <c r="D215" s="10"/>
      <c r="E215" s="19"/>
      <c r="F215" s="19"/>
      <c r="G215" s="10"/>
      <c r="H215" s="11" t="str">
        <f>IF(G215="","",IFERROR(VLOOKUP(G215,PROFESSORES!A:B,2,FALSE),""))</f>
        <v/>
      </c>
      <c r="I215" s="10"/>
      <c r="J215" s="10"/>
      <c r="K215" s="11" t="str">
        <f>IF(OR(G215="",C215="",E215="",F215="",I215=""),"",IF(AND((COUNTIFS(DISPONIBILIDADE!A:A,G215,DISPONIBILIDADE!C:C,C215,DISPONIBILIDADE!D:D,"&lt;="&amp;E215,DISPONIBILIDADE!E:E,"&gt;="&amp;F215,DISPONIBILIDADE!F:F,I215,DISPONIBILIDADE!G:G,"Sim")+COUNTIFS(DISPONIBILIDADE!A:A,G215,DISPONIBILIDADE!C:C,C215,DISPONIBILIDADE!D:D,"&lt;="&amp;E215,DISPONIBILIDADE!E:E,"&gt;="&amp;F215,DISPONIBILIDADE!F:F,"Ambas",DISPONIBILIDADE!G:G,"Sim"))&gt;0,COUNTIFS($G$3:$G$502,G215,$B$3:$B$502,B215,$E$3:$E$502,"&lt;"&amp;F215,$F$3:$F$502,"&gt;"&amp;E215,$A$3:$A$502,"&lt;&gt;"&amp;A215)=0),"Sim","Não"))</f>
        <v/>
      </c>
      <c r="L215" s="11" t="str">
        <f>IF(OR(G215="",D215=""),"",IF(COUNTIFS('RESTRIÇÕES'!A:A,G215,'RESTRIÇÕES'!C:C,D215,'RESTRIÇÕES'!F:F,"Sim")&gt;0,"Com restrição","Sem restrição"))</f>
        <v/>
      </c>
      <c r="M215" s="11" t="str">
        <f t="shared" si="2"/>
        <v/>
      </c>
    </row>
    <row r="216" ht="15.75" customHeight="1">
      <c r="A216" s="13" t="str">
        <f t="shared" si="3"/>
        <v/>
      </c>
      <c r="B216" s="27"/>
      <c r="C216" s="13" t="str">
        <f t="shared" si="4"/>
        <v/>
      </c>
      <c r="D216" s="12"/>
      <c r="E216" s="21"/>
      <c r="F216" s="21"/>
      <c r="G216" s="12"/>
      <c r="H216" s="13" t="str">
        <f>IF(G216="","",IFERROR(VLOOKUP(G216,PROFESSORES!A:B,2,FALSE),""))</f>
        <v/>
      </c>
      <c r="I216" s="12"/>
      <c r="J216" s="12"/>
      <c r="K216" s="13" t="str">
        <f>IF(OR(G216="",C216="",E216="",F216="",I216=""),"",IF(AND((COUNTIFS(DISPONIBILIDADE!A:A,G216,DISPONIBILIDADE!C:C,C216,DISPONIBILIDADE!D:D,"&lt;="&amp;E216,DISPONIBILIDADE!E:E,"&gt;="&amp;F216,DISPONIBILIDADE!F:F,I216,DISPONIBILIDADE!G:G,"Sim")+COUNTIFS(DISPONIBILIDADE!A:A,G216,DISPONIBILIDADE!C:C,C216,DISPONIBILIDADE!D:D,"&lt;="&amp;E216,DISPONIBILIDADE!E:E,"&gt;="&amp;F216,DISPONIBILIDADE!F:F,"Ambas",DISPONIBILIDADE!G:G,"Sim"))&gt;0,COUNTIFS($G$3:$G$502,G216,$B$3:$B$502,B216,$E$3:$E$502,"&lt;"&amp;F216,$F$3:$F$502,"&gt;"&amp;E216,$A$3:$A$502,"&lt;&gt;"&amp;A216)=0),"Sim","Não"))</f>
        <v/>
      </c>
      <c r="L216" s="13" t="str">
        <f>IF(OR(G216="",D216=""),"",IF(COUNTIFS('RESTRIÇÕES'!A:A,G216,'RESTRIÇÕES'!C:C,D216,'RESTRIÇÕES'!F:F,"Sim")&gt;0,"Com restrição","Sem restrição"))</f>
        <v/>
      </c>
      <c r="M216" s="13" t="str">
        <f t="shared" si="2"/>
        <v/>
      </c>
    </row>
    <row r="217" ht="15.75" customHeight="1">
      <c r="A217" s="11" t="str">
        <f t="shared" si="3"/>
        <v/>
      </c>
      <c r="B217" s="28"/>
      <c r="C217" s="11" t="str">
        <f t="shared" si="4"/>
        <v/>
      </c>
      <c r="D217" s="10"/>
      <c r="E217" s="19"/>
      <c r="F217" s="19"/>
      <c r="G217" s="10"/>
      <c r="H217" s="11" t="str">
        <f>IF(G217="","",IFERROR(VLOOKUP(G217,PROFESSORES!A:B,2,FALSE),""))</f>
        <v/>
      </c>
      <c r="I217" s="10"/>
      <c r="J217" s="10"/>
      <c r="K217" s="11" t="str">
        <f>IF(OR(G217="",C217="",E217="",F217="",I217=""),"",IF(AND((COUNTIFS(DISPONIBILIDADE!A:A,G217,DISPONIBILIDADE!C:C,C217,DISPONIBILIDADE!D:D,"&lt;="&amp;E217,DISPONIBILIDADE!E:E,"&gt;="&amp;F217,DISPONIBILIDADE!F:F,I217,DISPONIBILIDADE!G:G,"Sim")+COUNTIFS(DISPONIBILIDADE!A:A,G217,DISPONIBILIDADE!C:C,C217,DISPONIBILIDADE!D:D,"&lt;="&amp;E217,DISPONIBILIDADE!E:E,"&gt;="&amp;F217,DISPONIBILIDADE!F:F,"Ambas",DISPONIBILIDADE!G:G,"Sim"))&gt;0,COUNTIFS($G$3:$G$502,G217,$B$3:$B$502,B217,$E$3:$E$502,"&lt;"&amp;F217,$F$3:$F$502,"&gt;"&amp;E217,$A$3:$A$502,"&lt;&gt;"&amp;A217)=0),"Sim","Não"))</f>
        <v/>
      </c>
      <c r="L217" s="11" t="str">
        <f>IF(OR(G217="",D217=""),"",IF(COUNTIFS('RESTRIÇÕES'!A:A,G217,'RESTRIÇÕES'!C:C,D217,'RESTRIÇÕES'!F:F,"Sim")&gt;0,"Com restrição","Sem restrição"))</f>
        <v/>
      </c>
      <c r="M217" s="11" t="str">
        <f t="shared" si="2"/>
        <v/>
      </c>
    </row>
    <row r="218" ht="15.75" customHeight="1">
      <c r="A218" s="13" t="str">
        <f t="shared" si="3"/>
        <v/>
      </c>
      <c r="B218" s="27"/>
      <c r="C218" s="13" t="str">
        <f t="shared" si="4"/>
        <v/>
      </c>
      <c r="D218" s="12"/>
      <c r="E218" s="21"/>
      <c r="F218" s="21"/>
      <c r="G218" s="12"/>
      <c r="H218" s="13" t="str">
        <f>IF(G218="","",IFERROR(VLOOKUP(G218,PROFESSORES!A:B,2,FALSE),""))</f>
        <v/>
      </c>
      <c r="I218" s="12"/>
      <c r="J218" s="12"/>
      <c r="K218" s="13" t="str">
        <f>IF(OR(G218="",C218="",E218="",F218="",I218=""),"",IF(AND((COUNTIFS(DISPONIBILIDADE!A:A,G218,DISPONIBILIDADE!C:C,C218,DISPONIBILIDADE!D:D,"&lt;="&amp;E218,DISPONIBILIDADE!E:E,"&gt;="&amp;F218,DISPONIBILIDADE!F:F,I218,DISPONIBILIDADE!G:G,"Sim")+COUNTIFS(DISPONIBILIDADE!A:A,G218,DISPONIBILIDADE!C:C,C218,DISPONIBILIDADE!D:D,"&lt;="&amp;E218,DISPONIBILIDADE!E:E,"&gt;="&amp;F218,DISPONIBILIDADE!F:F,"Ambas",DISPONIBILIDADE!G:G,"Sim"))&gt;0,COUNTIFS($G$3:$G$502,G218,$B$3:$B$502,B218,$E$3:$E$502,"&lt;"&amp;F218,$F$3:$F$502,"&gt;"&amp;E218,$A$3:$A$502,"&lt;&gt;"&amp;A218)=0),"Sim","Não"))</f>
        <v/>
      </c>
      <c r="L218" s="13" t="str">
        <f>IF(OR(G218="",D218=""),"",IF(COUNTIFS('RESTRIÇÕES'!A:A,G218,'RESTRIÇÕES'!C:C,D218,'RESTRIÇÕES'!F:F,"Sim")&gt;0,"Com restrição","Sem restrição"))</f>
        <v/>
      </c>
      <c r="M218" s="13" t="str">
        <f t="shared" si="2"/>
        <v/>
      </c>
    </row>
    <row r="219" ht="15.75" customHeight="1">
      <c r="A219" s="11" t="str">
        <f t="shared" si="3"/>
        <v/>
      </c>
      <c r="B219" s="28"/>
      <c r="C219" s="11" t="str">
        <f t="shared" si="4"/>
        <v/>
      </c>
      <c r="D219" s="10"/>
      <c r="E219" s="19"/>
      <c r="F219" s="19"/>
      <c r="G219" s="10"/>
      <c r="H219" s="11" t="str">
        <f>IF(G219="","",IFERROR(VLOOKUP(G219,PROFESSORES!A:B,2,FALSE),""))</f>
        <v/>
      </c>
      <c r="I219" s="10"/>
      <c r="J219" s="10"/>
      <c r="K219" s="11" t="str">
        <f>IF(OR(G219="",C219="",E219="",F219="",I219=""),"",IF(AND((COUNTIFS(DISPONIBILIDADE!A:A,G219,DISPONIBILIDADE!C:C,C219,DISPONIBILIDADE!D:D,"&lt;="&amp;E219,DISPONIBILIDADE!E:E,"&gt;="&amp;F219,DISPONIBILIDADE!F:F,I219,DISPONIBILIDADE!G:G,"Sim")+COUNTIFS(DISPONIBILIDADE!A:A,G219,DISPONIBILIDADE!C:C,C219,DISPONIBILIDADE!D:D,"&lt;="&amp;E219,DISPONIBILIDADE!E:E,"&gt;="&amp;F219,DISPONIBILIDADE!F:F,"Ambas",DISPONIBILIDADE!G:G,"Sim"))&gt;0,COUNTIFS($G$3:$G$502,G219,$B$3:$B$502,B219,$E$3:$E$502,"&lt;"&amp;F219,$F$3:$F$502,"&gt;"&amp;E219,$A$3:$A$502,"&lt;&gt;"&amp;A219)=0),"Sim","Não"))</f>
        <v/>
      </c>
      <c r="L219" s="11" t="str">
        <f>IF(OR(G219="",D219=""),"",IF(COUNTIFS('RESTRIÇÕES'!A:A,G219,'RESTRIÇÕES'!C:C,D219,'RESTRIÇÕES'!F:F,"Sim")&gt;0,"Com restrição","Sem restrição"))</f>
        <v/>
      </c>
      <c r="M219" s="11" t="str">
        <f t="shared" si="2"/>
        <v/>
      </c>
    </row>
    <row r="220" ht="15.75" customHeight="1">
      <c r="A220" s="13" t="str">
        <f t="shared" si="3"/>
        <v/>
      </c>
      <c r="B220" s="27"/>
      <c r="C220" s="13" t="str">
        <f t="shared" si="4"/>
        <v/>
      </c>
      <c r="D220" s="12"/>
      <c r="E220" s="21"/>
      <c r="F220" s="21"/>
      <c r="G220" s="12"/>
      <c r="H220" s="13" t="str">
        <f>IF(G220="","",IFERROR(VLOOKUP(G220,PROFESSORES!A:B,2,FALSE),""))</f>
        <v/>
      </c>
      <c r="I220" s="12"/>
      <c r="J220" s="12"/>
      <c r="K220" s="13" t="str">
        <f>IF(OR(G220="",C220="",E220="",F220="",I220=""),"",IF(AND((COUNTIFS(DISPONIBILIDADE!A:A,G220,DISPONIBILIDADE!C:C,C220,DISPONIBILIDADE!D:D,"&lt;="&amp;E220,DISPONIBILIDADE!E:E,"&gt;="&amp;F220,DISPONIBILIDADE!F:F,I220,DISPONIBILIDADE!G:G,"Sim")+COUNTIFS(DISPONIBILIDADE!A:A,G220,DISPONIBILIDADE!C:C,C220,DISPONIBILIDADE!D:D,"&lt;="&amp;E220,DISPONIBILIDADE!E:E,"&gt;="&amp;F220,DISPONIBILIDADE!F:F,"Ambas",DISPONIBILIDADE!G:G,"Sim"))&gt;0,COUNTIFS($G$3:$G$502,G220,$B$3:$B$502,B220,$E$3:$E$502,"&lt;"&amp;F220,$F$3:$F$502,"&gt;"&amp;E220,$A$3:$A$502,"&lt;&gt;"&amp;A220)=0),"Sim","Não"))</f>
        <v/>
      </c>
      <c r="L220" s="13" t="str">
        <f>IF(OR(G220="",D220=""),"",IF(COUNTIFS('RESTRIÇÕES'!A:A,G220,'RESTRIÇÕES'!C:C,D220,'RESTRIÇÕES'!F:F,"Sim")&gt;0,"Com restrição","Sem restrição"))</f>
        <v/>
      </c>
      <c r="M220" s="13" t="str">
        <f t="shared" si="2"/>
        <v/>
      </c>
    </row>
    <row r="221" ht="15.75" customHeight="1">
      <c r="A221" s="11" t="str">
        <f t="shared" si="3"/>
        <v/>
      </c>
      <c r="B221" s="28"/>
      <c r="C221" s="11" t="str">
        <f t="shared" si="4"/>
        <v/>
      </c>
      <c r="D221" s="10"/>
      <c r="E221" s="19"/>
      <c r="F221" s="19"/>
      <c r="G221" s="10"/>
      <c r="H221" s="11" t="str">
        <f>IF(G221="","",IFERROR(VLOOKUP(G221,PROFESSORES!A:B,2,FALSE),""))</f>
        <v/>
      </c>
      <c r="I221" s="10"/>
      <c r="J221" s="10"/>
      <c r="K221" s="11" t="str">
        <f>IF(OR(G221="",C221="",E221="",F221="",I221=""),"",IF(AND((COUNTIFS(DISPONIBILIDADE!A:A,G221,DISPONIBILIDADE!C:C,C221,DISPONIBILIDADE!D:D,"&lt;="&amp;E221,DISPONIBILIDADE!E:E,"&gt;="&amp;F221,DISPONIBILIDADE!F:F,I221,DISPONIBILIDADE!G:G,"Sim")+COUNTIFS(DISPONIBILIDADE!A:A,G221,DISPONIBILIDADE!C:C,C221,DISPONIBILIDADE!D:D,"&lt;="&amp;E221,DISPONIBILIDADE!E:E,"&gt;="&amp;F221,DISPONIBILIDADE!F:F,"Ambas",DISPONIBILIDADE!G:G,"Sim"))&gt;0,COUNTIFS($G$3:$G$502,G221,$B$3:$B$502,B221,$E$3:$E$502,"&lt;"&amp;F221,$F$3:$F$502,"&gt;"&amp;E221,$A$3:$A$502,"&lt;&gt;"&amp;A221)=0),"Sim","Não"))</f>
        <v/>
      </c>
      <c r="L221" s="11" t="str">
        <f>IF(OR(G221="",D221=""),"",IF(COUNTIFS('RESTRIÇÕES'!A:A,G221,'RESTRIÇÕES'!C:C,D221,'RESTRIÇÕES'!F:F,"Sim")&gt;0,"Com restrição","Sem restrição"))</f>
        <v/>
      </c>
      <c r="M221" s="11" t="str">
        <f t="shared" si="2"/>
        <v/>
      </c>
    </row>
    <row r="222" ht="15.75" customHeight="1">
      <c r="A222" s="13" t="str">
        <f t="shared" si="3"/>
        <v/>
      </c>
      <c r="B222" s="27"/>
      <c r="C222" s="13" t="str">
        <f t="shared" si="4"/>
        <v/>
      </c>
      <c r="D222" s="12"/>
      <c r="E222" s="21"/>
      <c r="F222" s="21"/>
      <c r="G222" s="12"/>
      <c r="H222" s="13" t="str">
        <f>IF(G222="","",IFERROR(VLOOKUP(G222,PROFESSORES!A:B,2,FALSE),""))</f>
        <v/>
      </c>
      <c r="I222" s="12"/>
      <c r="J222" s="12"/>
      <c r="K222" s="13" t="str">
        <f>IF(OR(G222="",C222="",E222="",F222="",I222=""),"",IF(AND((COUNTIFS(DISPONIBILIDADE!A:A,G222,DISPONIBILIDADE!C:C,C222,DISPONIBILIDADE!D:D,"&lt;="&amp;E222,DISPONIBILIDADE!E:E,"&gt;="&amp;F222,DISPONIBILIDADE!F:F,I222,DISPONIBILIDADE!G:G,"Sim")+COUNTIFS(DISPONIBILIDADE!A:A,G222,DISPONIBILIDADE!C:C,C222,DISPONIBILIDADE!D:D,"&lt;="&amp;E222,DISPONIBILIDADE!E:E,"&gt;="&amp;F222,DISPONIBILIDADE!F:F,"Ambas",DISPONIBILIDADE!G:G,"Sim"))&gt;0,COUNTIFS($G$3:$G$502,G222,$B$3:$B$502,B222,$E$3:$E$502,"&lt;"&amp;F222,$F$3:$F$502,"&gt;"&amp;E222,$A$3:$A$502,"&lt;&gt;"&amp;A222)=0),"Sim","Não"))</f>
        <v/>
      </c>
      <c r="L222" s="13" t="str">
        <f>IF(OR(G222="",D222=""),"",IF(COUNTIFS('RESTRIÇÕES'!A:A,G222,'RESTRIÇÕES'!C:C,D222,'RESTRIÇÕES'!F:F,"Sim")&gt;0,"Com restrição","Sem restrição"))</f>
        <v/>
      </c>
      <c r="M222" s="13" t="str">
        <f t="shared" si="2"/>
        <v/>
      </c>
    </row>
    <row r="223" ht="15.75" customHeight="1">
      <c r="A223" s="11" t="str">
        <f t="shared" si="3"/>
        <v/>
      </c>
      <c r="B223" s="28"/>
      <c r="C223" s="11" t="str">
        <f t="shared" si="4"/>
        <v/>
      </c>
      <c r="D223" s="10"/>
      <c r="E223" s="19"/>
      <c r="F223" s="19"/>
      <c r="G223" s="10"/>
      <c r="H223" s="11" t="str">
        <f>IF(G223="","",IFERROR(VLOOKUP(G223,PROFESSORES!A:B,2,FALSE),""))</f>
        <v/>
      </c>
      <c r="I223" s="10"/>
      <c r="J223" s="10"/>
      <c r="K223" s="11" t="str">
        <f>IF(OR(G223="",C223="",E223="",F223="",I223=""),"",IF(AND((COUNTIFS(DISPONIBILIDADE!A:A,G223,DISPONIBILIDADE!C:C,C223,DISPONIBILIDADE!D:D,"&lt;="&amp;E223,DISPONIBILIDADE!E:E,"&gt;="&amp;F223,DISPONIBILIDADE!F:F,I223,DISPONIBILIDADE!G:G,"Sim")+COUNTIFS(DISPONIBILIDADE!A:A,G223,DISPONIBILIDADE!C:C,C223,DISPONIBILIDADE!D:D,"&lt;="&amp;E223,DISPONIBILIDADE!E:E,"&gt;="&amp;F223,DISPONIBILIDADE!F:F,"Ambas",DISPONIBILIDADE!G:G,"Sim"))&gt;0,COUNTIFS($G$3:$G$502,G223,$B$3:$B$502,B223,$E$3:$E$502,"&lt;"&amp;F223,$F$3:$F$502,"&gt;"&amp;E223,$A$3:$A$502,"&lt;&gt;"&amp;A223)=0),"Sim","Não"))</f>
        <v/>
      </c>
      <c r="L223" s="11" t="str">
        <f>IF(OR(G223="",D223=""),"",IF(COUNTIFS('RESTRIÇÕES'!A:A,G223,'RESTRIÇÕES'!C:C,D223,'RESTRIÇÕES'!F:F,"Sim")&gt;0,"Com restrição","Sem restrição"))</f>
        <v/>
      </c>
      <c r="M223" s="11" t="str">
        <f t="shared" si="2"/>
        <v/>
      </c>
    </row>
    <row r="224" ht="15.75" customHeight="1">
      <c r="A224" s="13" t="str">
        <f t="shared" si="3"/>
        <v/>
      </c>
      <c r="B224" s="27"/>
      <c r="C224" s="13" t="str">
        <f t="shared" si="4"/>
        <v/>
      </c>
      <c r="D224" s="12"/>
      <c r="E224" s="21"/>
      <c r="F224" s="21"/>
      <c r="G224" s="12"/>
      <c r="H224" s="13" t="str">
        <f>IF(G224="","",IFERROR(VLOOKUP(G224,PROFESSORES!A:B,2,FALSE),""))</f>
        <v/>
      </c>
      <c r="I224" s="12"/>
      <c r="J224" s="12"/>
      <c r="K224" s="13" t="str">
        <f>IF(OR(G224="",C224="",E224="",F224="",I224=""),"",IF(AND((COUNTIFS(DISPONIBILIDADE!A:A,G224,DISPONIBILIDADE!C:C,C224,DISPONIBILIDADE!D:D,"&lt;="&amp;E224,DISPONIBILIDADE!E:E,"&gt;="&amp;F224,DISPONIBILIDADE!F:F,I224,DISPONIBILIDADE!G:G,"Sim")+COUNTIFS(DISPONIBILIDADE!A:A,G224,DISPONIBILIDADE!C:C,C224,DISPONIBILIDADE!D:D,"&lt;="&amp;E224,DISPONIBILIDADE!E:E,"&gt;="&amp;F224,DISPONIBILIDADE!F:F,"Ambas",DISPONIBILIDADE!G:G,"Sim"))&gt;0,COUNTIFS($G$3:$G$502,G224,$B$3:$B$502,B224,$E$3:$E$502,"&lt;"&amp;F224,$F$3:$F$502,"&gt;"&amp;E224,$A$3:$A$502,"&lt;&gt;"&amp;A224)=0),"Sim","Não"))</f>
        <v/>
      </c>
      <c r="L224" s="13" t="str">
        <f>IF(OR(G224="",D224=""),"",IF(COUNTIFS('RESTRIÇÕES'!A:A,G224,'RESTRIÇÕES'!C:C,D224,'RESTRIÇÕES'!F:F,"Sim")&gt;0,"Com restrição","Sem restrição"))</f>
        <v/>
      </c>
      <c r="M224" s="13" t="str">
        <f t="shared" si="2"/>
        <v/>
      </c>
    </row>
    <row r="225" ht="15.75" customHeight="1">
      <c r="A225" s="11" t="str">
        <f t="shared" si="3"/>
        <v/>
      </c>
      <c r="B225" s="28"/>
      <c r="C225" s="11" t="str">
        <f t="shared" si="4"/>
        <v/>
      </c>
      <c r="D225" s="10"/>
      <c r="E225" s="19"/>
      <c r="F225" s="19"/>
      <c r="G225" s="10"/>
      <c r="H225" s="11" t="str">
        <f>IF(G225="","",IFERROR(VLOOKUP(G225,PROFESSORES!A:B,2,FALSE),""))</f>
        <v/>
      </c>
      <c r="I225" s="10"/>
      <c r="J225" s="10"/>
      <c r="K225" s="11" t="str">
        <f>IF(OR(G225="",C225="",E225="",F225="",I225=""),"",IF(AND((COUNTIFS(DISPONIBILIDADE!A:A,G225,DISPONIBILIDADE!C:C,C225,DISPONIBILIDADE!D:D,"&lt;="&amp;E225,DISPONIBILIDADE!E:E,"&gt;="&amp;F225,DISPONIBILIDADE!F:F,I225,DISPONIBILIDADE!G:G,"Sim")+COUNTIFS(DISPONIBILIDADE!A:A,G225,DISPONIBILIDADE!C:C,C225,DISPONIBILIDADE!D:D,"&lt;="&amp;E225,DISPONIBILIDADE!E:E,"&gt;="&amp;F225,DISPONIBILIDADE!F:F,"Ambas",DISPONIBILIDADE!G:G,"Sim"))&gt;0,COUNTIFS($G$3:$G$502,G225,$B$3:$B$502,B225,$E$3:$E$502,"&lt;"&amp;F225,$F$3:$F$502,"&gt;"&amp;E225,$A$3:$A$502,"&lt;&gt;"&amp;A225)=0),"Sim","Não"))</f>
        <v/>
      </c>
      <c r="L225" s="11" t="str">
        <f>IF(OR(G225="",D225=""),"",IF(COUNTIFS('RESTRIÇÕES'!A:A,G225,'RESTRIÇÕES'!C:C,D225,'RESTRIÇÕES'!F:F,"Sim")&gt;0,"Com restrição","Sem restrição"))</f>
        <v/>
      </c>
      <c r="M225" s="11" t="str">
        <f t="shared" si="2"/>
        <v/>
      </c>
    </row>
    <row r="226" ht="15.75" customHeight="1">
      <c r="A226" s="13" t="str">
        <f t="shared" si="3"/>
        <v/>
      </c>
      <c r="B226" s="27"/>
      <c r="C226" s="13" t="str">
        <f t="shared" si="4"/>
        <v/>
      </c>
      <c r="D226" s="12"/>
      <c r="E226" s="21"/>
      <c r="F226" s="21"/>
      <c r="G226" s="12"/>
      <c r="H226" s="13" t="str">
        <f>IF(G226="","",IFERROR(VLOOKUP(G226,PROFESSORES!A:B,2,FALSE),""))</f>
        <v/>
      </c>
      <c r="I226" s="12"/>
      <c r="J226" s="12"/>
      <c r="K226" s="13" t="str">
        <f>IF(OR(G226="",C226="",E226="",F226="",I226=""),"",IF(AND((COUNTIFS(DISPONIBILIDADE!A:A,G226,DISPONIBILIDADE!C:C,C226,DISPONIBILIDADE!D:D,"&lt;="&amp;E226,DISPONIBILIDADE!E:E,"&gt;="&amp;F226,DISPONIBILIDADE!F:F,I226,DISPONIBILIDADE!G:G,"Sim")+COUNTIFS(DISPONIBILIDADE!A:A,G226,DISPONIBILIDADE!C:C,C226,DISPONIBILIDADE!D:D,"&lt;="&amp;E226,DISPONIBILIDADE!E:E,"&gt;="&amp;F226,DISPONIBILIDADE!F:F,"Ambas",DISPONIBILIDADE!G:G,"Sim"))&gt;0,COUNTIFS($G$3:$G$502,G226,$B$3:$B$502,B226,$E$3:$E$502,"&lt;"&amp;F226,$F$3:$F$502,"&gt;"&amp;E226,$A$3:$A$502,"&lt;&gt;"&amp;A226)=0),"Sim","Não"))</f>
        <v/>
      </c>
      <c r="L226" s="13" t="str">
        <f>IF(OR(G226="",D226=""),"",IF(COUNTIFS('RESTRIÇÕES'!A:A,G226,'RESTRIÇÕES'!C:C,D226,'RESTRIÇÕES'!F:F,"Sim")&gt;0,"Com restrição","Sem restrição"))</f>
        <v/>
      </c>
      <c r="M226" s="13" t="str">
        <f t="shared" si="2"/>
        <v/>
      </c>
    </row>
    <row r="227" ht="15.75" customHeight="1">
      <c r="A227" s="11" t="str">
        <f t="shared" si="3"/>
        <v/>
      </c>
      <c r="B227" s="28"/>
      <c r="C227" s="11" t="str">
        <f t="shared" si="4"/>
        <v/>
      </c>
      <c r="D227" s="10"/>
      <c r="E227" s="19"/>
      <c r="F227" s="19"/>
      <c r="G227" s="10"/>
      <c r="H227" s="11" t="str">
        <f>IF(G227="","",IFERROR(VLOOKUP(G227,PROFESSORES!A:B,2,FALSE),""))</f>
        <v/>
      </c>
      <c r="I227" s="10"/>
      <c r="J227" s="10"/>
      <c r="K227" s="11" t="str">
        <f>IF(OR(G227="",C227="",E227="",F227="",I227=""),"",IF(AND((COUNTIFS(DISPONIBILIDADE!A:A,G227,DISPONIBILIDADE!C:C,C227,DISPONIBILIDADE!D:D,"&lt;="&amp;E227,DISPONIBILIDADE!E:E,"&gt;="&amp;F227,DISPONIBILIDADE!F:F,I227,DISPONIBILIDADE!G:G,"Sim")+COUNTIFS(DISPONIBILIDADE!A:A,G227,DISPONIBILIDADE!C:C,C227,DISPONIBILIDADE!D:D,"&lt;="&amp;E227,DISPONIBILIDADE!E:E,"&gt;="&amp;F227,DISPONIBILIDADE!F:F,"Ambas",DISPONIBILIDADE!G:G,"Sim"))&gt;0,COUNTIFS($G$3:$G$502,G227,$B$3:$B$502,B227,$E$3:$E$502,"&lt;"&amp;F227,$F$3:$F$502,"&gt;"&amp;E227,$A$3:$A$502,"&lt;&gt;"&amp;A227)=0),"Sim","Não"))</f>
        <v/>
      </c>
      <c r="L227" s="11" t="str">
        <f>IF(OR(G227="",D227=""),"",IF(COUNTIFS('RESTRIÇÕES'!A:A,G227,'RESTRIÇÕES'!C:C,D227,'RESTRIÇÕES'!F:F,"Sim")&gt;0,"Com restrição","Sem restrição"))</f>
        <v/>
      </c>
      <c r="M227" s="11" t="str">
        <f t="shared" si="2"/>
        <v/>
      </c>
    </row>
    <row r="228" ht="15.75" customHeight="1">
      <c r="A228" s="13" t="str">
        <f t="shared" si="3"/>
        <v/>
      </c>
      <c r="B228" s="27"/>
      <c r="C228" s="13" t="str">
        <f t="shared" si="4"/>
        <v/>
      </c>
      <c r="D228" s="12"/>
      <c r="E228" s="21"/>
      <c r="F228" s="21"/>
      <c r="G228" s="12"/>
      <c r="H228" s="13" t="str">
        <f>IF(G228="","",IFERROR(VLOOKUP(G228,PROFESSORES!A:B,2,FALSE),""))</f>
        <v/>
      </c>
      <c r="I228" s="12"/>
      <c r="J228" s="12"/>
      <c r="K228" s="13" t="str">
        <f>IF(OR(G228="",C228="",E228="",F228="",I228=""),"",IF(AND((COUNTIFS(DISPONIBILIDADE!A:A,G228,DISPONIBILIDADE!C:C,C228,DISPONIBILIDADE!D:D,"&lt;="&amp;E228,DISPONIBILIDADE!E:E,"&gt;="&amp;F228,DISPONIBILIDADE!F:F,I228,DISPONIBILIDADE!G:G,"Sim")+COUNTIFS(DISPONIBILIDADE!A:A,G228,DISPONIBILIDADE!C:C,C228,DISPONIBILIDADE!D:D,"&lt;="&amp;E228,DISPONIBILIDADE!E:E,"&gt;="&amp;F228,DISPONIBILIDADE!F:F,"Ambas",DISPONIBILIDADE!G:G,"Sim"))&gt;0,COUNTIFS($G$3:$G$502,G228,$B$3:$B$502,B228,$E$3:$E$502,"&lt;"&amp;F228,$F$3:$F$502,"&gt;"&amp;E228,$A$3:$A$502,"&lt;&gt;"&amp;A228)=0),"Sim","Não"))</f>
        <v/>
      </c>
      <c r="L228" s="13" t="str">
        <f>IF(OR(G228="",D228=""),"",IF(COUNTIFS('RESTRIÇÕES'!A:A,G228,'RESTRIÇÕES'!C:C,D228,'RESTRIÇÕES'!F:F,"Sim")&gt;0,"Com restrição","Sem restrição"))</f>
        <v/>
      </c>
      <c r="M228" s="13" t="str">
        <f t="shared" si="2"/>
        <v/>
      </c>
    </row>
    <row r="229" ht="15.75" customHeight="1">
      <c r="A229" s="11" t="str">
        <f t="shared" si="3"/>
        <v/>
      </c>
      <c r="B229" s="28"/>
      <c r="C229" s="11" t="str">
        <f t="shared" si="4"/>
        <v/>
      </c>
      <c r="D229" s="10"/>
      <c r="E229" s="19"/>
      <c r="F229" s="19"/>
      <c r="G229" s="10"/>
      <c r="H229" s="11" t="str">
        <f>IF(G229="","",IFERROR(VLOOKUP(G229,PROFESSORES!A:B,2,FALSE),""))</f>
        <v/>
      </c>
      <c r="I229" s="10"/>
      <c r="J229" s="10"/>
      <c r="K229" s="11" t="str">
        <f>IF(OR(G229="",C229="",E229="",F229="",I229=""),"",IF(AND((COUNTIFS(DISPONIBILIDADE!A:A,G229,DISPONIBILIDADE!C:C,C229,DISPONIBILIDADE!D:D,"&lt;="&amp;E229,DISPONIBILIDADE!E:E,"&gt;="&amp;F229,DISPONIBILIDADE!F:F,I229,DISPONIBILIDADE!G:G,"Sim")+COUNTIFS(DISPONIBILIDADE!A:A,G229,DISPONIBILIDADE!C:C,C229,DISPONIBILIDADE!D:D,"&lt;="&amp;E229,DISPONIBILIDADE!E:E,"&gt;="&amp;F229,DISPONIBILIDADE!F:F,"Ambas",DISPONIBILIDADE!G:G,"Sim"))&gt;0,COUNTIFS($G$3:$G$502,G229,$B$3:$B$502,B229,$E$3:$E$502,"&lt;"&amp;F229,$F$3:$F$502,"&gt;"&amp;E229,$A$3:$A$502,"&lt;&gt;"&amp;A229)=0),"Sim","Não"))</f>
        <v/>
      </c>
      <c r="L229" s="11" t="str">
        <f>IF(OR(G229="",D229=""),"",IF(COUNTIFS('RESTRIÇÕES'!A:A,G229,'RESTRIÇÕES'!C:C,D229,'RESTRIÇÕES'!F:F,"Sim")&gt;0,"Com restrição","Sem restrição"))</f>
        <v/>
      </c>
      <c r="M229" s="11" t="str">
        <f t="shared" si="2"/>
        <v/>
      </c>
    </row>
    <row r="230" ht="15.75" customHeight="1">
      <c r="A230" s="13" t="str">
        <f t="shared" si="3"/>
        <v/>
      </c>
      <c r="B230" s="27"/>
      <c r="C230" s="13" t="str">
        <f t="shared" si="4"/>
        <v/>
      </c>
      <c r="D230" s="12"/>
      <c r="E230" s="21"/>
      <c r="F230" s="21"/>
      <c r="G230" s="12"/>
      <c r="H230" s="13" t="str">
        <f>IF(G230="","",IFERROR(VLOOKUP(G230,PROFESSORES!A:B,2,FALSE),""))</f>
        <v/>
      </c>
      <c r="I230" s="12"/>
      <c r="J230" s="12"/>
      <c r="K230" s="13" t="str">
        <f>IF(OR(G230="",C230="",E230="",F230="",I230=""),"",IF(AND((COUNTIFS(DISPONIBILIDADE!A:A,G230,DISPONIBILIDADE!C:C,C230,DISPONIBILIDADE!D:D,"&lt;="&amp;E230,DISPONIBILIDADE!E:E,"&gt;="&amp;F230,DISPONIBILIDADE!F:F,I230,DISPONIBILIDADE!G:G,"Sim")+COUNTIFS(DISPONIBILIDADE!A:A,G230,DISPONIBILIDADE!C:C,C230,DISPONIBILIDADE!D:D,"&lt;="&amp;E230,DISPONIBILIDADE!E:E,"&gt;="&amp;F230,DISPONIBILIDADE!F:F,"Ambas",DISPONIBILIDADE!G:G,"Sim"))&gt;0,COUNTIFS($G$3:$G$502,G230,$B$3:$B$502,B230,$E$3:$E$502,"&lt;"&amp;F230,$F$3:$F$502,"&gt;"&amp;E230,$A$3:$A$502,"&lt;&gt;"&amp;A230)=0),"Sim","Não"))</f>
        <v/>
      </c>
      <c r="L230" s="13" t="str">
        <f>IF(OR(G230="",D230=""),"",IF(COUNTIFS('RESTRIÇÕES'!A:A,G230,'RESTRIÇÕES'!C:C,D230,'RESTRIÇÕES'!F:F,"Sim")&gt;0,"Com restrição","Sem restrição"))</f>
        <v/>
      </c>
      <c r="M230" s="13" t="str">
        <f t="shared" si="2"/>
        <v/>
      </c>
    </row>
    <row r="231" ht="15.75" customHeight="1">
      <c r="A231" s="11" t="str">
        <f t="shared" si="3"/>
        <v/>
      </c>
      <c r="B231" s="28"/>
      <c r="C231" s="11" t="str">
        <f t="shared" si="4"/>
        <v/>
      </c>
      <c r="D231" s="10"/>
      <c r="E231" s="19"/>
      <c r="F231" s="19"/>
      <c r="G231" s="10"/>
      <c r="H231" s="11" t="str">
        <f>IF(G231="","",IFERROR(VLOOKUP(G231,PROFESSORES!A:B,2,FALSE),""))</f>
        <v/>
      </c>
      <c r="I231" s="10"/>
      <c r="J231" s="10"/>
      <c r="K231" s="11" t="str">
        <f>IF(OR(G231="",C231="",E231="",F231="",I231=""),"",IF(AND((COUNTIFS(DISPONIBILIDADE!A:A,G231,DISPONIBILIDADE!C:C,C231,DISPONIBILIDADE!D:D,"&lt;="&amp;E231,DISPONIBILIDADE!E:E,"&gt;="&amp;F231,DISPONIBILIDADE!F:F,I231,DISPONIBILIDADE!G:G,"Sim")+COUNTIFS(DISPONIBILIDADE!A:A,G231,DISPONIBILIDADE!C:C,C231,DISPONIBILIDADE!D:D,"&lt;="&amp;E231,DISPONIBILIDADE!E:E,"&gt;="&amp;F231,DISPONIBILIDADE!F:F,"Ambas",DISPONIBILIDADE!G:G,"Sim"))&gt;0,COUNTIFS($G$3:$G$502,G231,$B$3:$B$502,B231,$E$3:$E$502,"&lt;"&amp;F231,$F$3:$F$502,"&gt;"&amp;E231,$A$3:$A$502,"&lt;&gt;"&amp;A231)=0),"Sim","Não"))</f>
        <v/>
      </c>
      <c r="L231" s="11" t="str">
        <f>IF(OR(G231="",D231=""),"",IF(COUNTIFS('RESTRIÇÕES'!A:A,G231,'RESTRIÇÕES'!C:C,D231,'RESTRIÇÕES'!F:F,"Sim")&gt;0,"Com restrição","Sem restrição"))</f>
        <v/>
      </c>
      <c r="M231" s="11" t="str">
        <f t="shared" si="2"/>
        <v/>
      </c>
    </row>
    <row r="232" ht="15.75" customHeight="1">
      <c r="A232" s="13" t="str">
        <f t="shared" si="3"/>
        <v/>
      </c>
      <c r="B232" s="27"/>
      <c r="C232" s="13" t="str">
        <f t="shared" si="4"/>
        <v/>
      </c>
      <c r="D232" s="12"/>
      <c r="E232" s="21"/>
      <c r="F232" s="21"/>
      <c r="G232" s="12"/>
      <c r="H232" s="13" t="str">
        <f>IF(G232="","",IFERROR(VLOOKUP(G232,PROFESSORES!A:B,2,FALSE),""))</f>
        <v/>
      </c>
      <c r="I232" s="12"/>
      <c r="J232" s="12"/>
      <c r="K232" s="13" t="str">
        <f>IF(OR(G232="",C232="",E232="",F232="",I232=""),"",IF(AND((COUNTIFS(DISPONIBILIDADE!A:A,G232,DISPONIBILIDADE!C:C,C232,DISPONIBILIDADE!D:D,"&lt;="&amp;E232,DISPONIBILIDADE!E:E,"&gt;="&amp;F232,DISPONIBILIDADE!F:F,I232,DISPONIBILIDADE!G:G,"Sim")+COUNTIFS(DISPONIBILIDADE!A:A,G232,DISPONIBILIDADE!C:C,C232,DISPONIBILIDADE!D:D,"&lt;="&amp;E232,DISPONIBILIDADE!E:E,"&gt;="&amp;F232,DISPONIBILIDADE!F:F,"Ambas",DISPONIBILIDADE!G:G,"Sim"))&gt;0,COUNTIFS($G$3:$G$502,G232,$B$3:$B$502,B232,$E$3:$E$502,"&lt;"&amp;F232,$F$3:$F$502,"&gt;"&amp;E232,$A$3:$A$502,"&lt;&gt;"&amp;A232)=0),"Sim","Não"))</f>
        <v/>
      </c>
      <c r="L232" s="13" t="str">
        <f>IF(OR(G232="",D232=""),"",IF(COUNTIFS('RESTRIÇÕES'!A:A,G232,'RESTRIÇÕES'!C:C,D232,'RESTRIÇÕES'!F:F,"Sim")&gt;0,"Com restrição","Sem restrição"))</f>
        <v/>
      </c>
      <c r="M232" s="13" t="str">
        <f t="shared" si="2"/>
        <v/>
      </c>
    </row>
    <row r="233" ht="15.75" customHeight="1">
      <c r="A233" s="11" t="str">
        <f t="shared" si="3"/>
        <v/>
      </c>
      <c r="B233" s="28"/>
      <c r="C233" s="11" t="str">
        <f t="shared" si="4"/>
        <v/>
      </c>
      <c r="D233" s="10"/>
      <c r="E233" s="19"/>
      <c r="F233" s="19"/>
      <c r="G233" s="10"/>
      <c r="H233" s="11" t="str">
        <f>IF(G233="","",IFERROR(VLOOKUP(G233,PROFESSORES!A:B,2,FALSE),""))</f>
        <v/>
      </c>
      <c r="I233" s="10"/>
      <c r="J233" s="10"/>
      <c r="K233" s="11" t="str">
        <f>IF(OR(G233="",C233="",E233="",F233="",I233=""),"",IF(AND((COUNTIFS(DISPONIBILIDADE!A:A,G233,DISPONIBILIDADE!C:C,C233,DISPONIBILIDADE!D:D,"&lt;="&amp;E233,DISPONIBILIDADE!E:E,"&gt;="&amp;F233,DISPONIBILIDADE!F:F,I233,DISPONIBILIDADE!G:G,"Sim")+COUNTIFS(DISPONIBILIDADE!A:A,G233,DISPONIBILIDADE!C:C,C233,DISPONIBILIDADE!D:D,"&lt;="&amp;E233,DISPONIBILIDADE!E:E,"&gt;="&amp;F233,DISPONIBILIDADE!F:F,"Ambas",DISPONIBILIDADE!G:G,"Sim"))&gt;0,COUNTIFS($G$3:$G$502,G233,$B$3:$B$502,B233,$E$3:$E$502,"&lt;"&amp;F233,$F$3:$F$502,"&gt;"&amp;E233,$A$3:$A$502,"&lt;&gt;"&amp;A233)=0),"Sim","Não"))</f>
        <v/>
      </c>
      <c r="L233" s="11" t="str">
        <f>IF(OR(G233="",D233=""),"",IF(COUNTIFS('RESTRIÇÕES'!A:A,G233,'RESTRIÇÕES'!C:C,D233,'RESTRIÇÕES'!F:F,"Sim")&gt;0,"Com restrição","Sem restrição"))</f>
        <v/>
      </c>
      <c r="M233" s="11" t="str">
        <f t="shared" si="2"/>
        <v/>
      </c>
    </row>
    <row r="234" ht="15.75" customHeight="1">
      <c r="A234" s="13" t="str">
        <f t="shared" si="3"/>
        <v/>
      </c>
      <c r="B234" s="27"/>
      <c r="C234" s="13" t="str">
        <f t="shared" si="4"/>
        <v/>
      </c>
      <c r="D234" s="12"/>
      <c r="E234" s="21"/>
      <c r="F234" s="21"/>
      <c r="G234" s="12"/>
      <c r="H234" s="13" t="str">
        <f>IF(G234="","",IFERROR(VLOOKUP(G234,PROFESSORES!A:B,2,FALSE),""))</f>
        <v/>
      </c>
      <c r="I234" s="12"/>
      <c r="J234" s="12"/>
      <c r="K234" s="13" t="str">
        <f>IF(OR(G234="",C234="",E234="",F234="",I234=""),"",IF(AND((COUNTIFS(DISPONIBILIDADE!A:A,G234,DISPONIBILIDADE!C:C,C234,DISPONIBILIDADE!D:D,"&lt;="&amp;E234,DISPONIBILIDADE!E:E,"&gt;="&amp;F234,DISPONIBILIDADE!F:F,I234,DISPONIBILIDADE!G:G,"Sim")+COUNTIFS(DISPONIBILIDADE!A:A,G234,DISPONIBILIDADE!C:C,C234,DISPONIBILIDADE!D:D,"&lt;="&amp;E234,DISPONIBILIDADE!E:E,"&gt;="&amp;F234,DISPONIBILIDADE!F:F,"Ambas",DISPONIBILIDADE!G:G,"Sim"))&gt;0,COUNTIFS($G$3:$G$502,G234,$B$3:$B$502,B234,$E$3:$E$502,"&lt;"&amp;F234,$F$3:$F$502,"&gt;"&amp;E234,$A$3:$A$502,"&lt;&gt;"&amp;A234)=0),"Sim","Não"))</f>
        <v/>
      </c>
      <c r="L234" s="13" t="str">
        <f>IF(OR(G234="",D234=""),"",IF(COUNTIFS('RESTRIÇÕES'!A:A,G234,'RESTRIÇÕES'!C:C,D234,'RESTRIÇÕES'!F:F,"Sim")&gt;0,"Com restrição","Sem restrição"))</f>
        <v/>
      </c>
      <c r="M234" s="13" t="str">
        <f t="shared" si="2"/>
        <v/>
      </c>
    </row>
    <row r="235" ht="15.75" customHeight="1">
      <c r="A235" s="11" t="str">
        <f t="shared" si="3"/>
        <v/>
      </c>
      <c r="B235" s="28"/>
      <c r="C235" s="11" t="str">
        <f t="shared" si="4"/>
        <v/>
      </c>
      <c r="D235" s="10"/>
      <c r="E235" s="19"/>
      <c r="F235" s="19"/>
      <c r="G235" s="10"/>
      <c r="H235" s="11" t="str">
        <f>IF(G235="","",IFERROR(VLOOKUP(G235,PROFESSORES!A:B,2,FALSE),""))</f>
        <v/>
      </c>
      <c r="I235" s="10"/>
      <c r="J235" s="10"/>
      <c r="K235" s="11" t="str">
        <f>IF(OR(G235="",C235="",E235="",F235="",I235=""),"",IF(AND((COUNTIFS(DISPONIBILIDADE!A:A,G235,DISPONIBILIDADE!C:C,C235,DISPONIBILIDADE!D:D,"&lt;="&amp;E235,DISPONIBILIDADE!E:E,"&gt;="&amp;F235,DISPONIBILIDADE!F:F,I235,DISPONIBILIDADE!G:G,"Sim")+COUNTIFS(DISPONIBILIDADE!A:A,G235,DISPONIBILIDADE!C:C,C235,DISPONIBILIDADE!D:D,"&lt;="&amp;E235,DISPONIBILIDADE!E:E,"&gt;="&amp;F235,DISPONIBILIDADE!F:F,"Ambas",DISPONIBILIDADE!G:G,"Sim"))&gt;0,COUNTIFS($G$3:$G$502,G235,$B$3:$B$502,B235,$E$3:$E$502,"&lt;"&amp;F235,$F$3:$F$502,"&gt;"&amp;E235,$A$3:$A$502,"&lt;&gt;"&amp;A235)=0),"Sim","Não"))</f>
        <v/>
      </c>
      <c r="L235" s="11" t="str">
        <f>IF(OR(G235="",D235=""),"",IF(COUNTIFS('RESTRIÇÕES'!A:A,G235,'RESTRIÇÕES'!C:C,D235,'RESTRIÇÕES'!F:F,"Sim")&gt;0,"Com restrição","Sem restrição"))</f>
        <v/>
      </c>
      <c r="M235" s="11" t="str">
        <f t="shared" si="2"/>
        <v/>
      </c>
    </row>
    <row r="236" ht="15.75" customHeight="1">
      <c r="A236" s="13" t="str">
        <f t="shared" si="3"/>
        <v/>
      </c>
      <c r="B236" s="27"/>
      <c r="C236" s="13" t="str">
        <f t="shared" si="4"/>
        <v/>
      </c>
      <c r="D236" s="12"/>
      <c r="E236" s="21"/>
      <c r="F236" s="21"/>
      <c r="G236" s="12"/>
      <c r="H236" s="13" t="str">
        <f>IF(G236="","",IFERROR(VLOOKUP(G236,PROFESSORES!A:B,2,FALSE),""))</f>
        <v/>
      </c>
      <c r="I236" s="12"/>
      <c r="J236" s="12"/>
      <c r="K236" s="13" t="str">
        <f>IF(OR(G236="",C236="",E236="",F236="",I236=""),"",IF(AND((COUNTIFS(DISPONIBILIDADE!A:A,G236,DISPONIBILIDADE!C:C,C236,DISPONIBILIDADE!D:D,"&lt;="&amp;E236,DISPONIBILIDADE!E:E,"&gt;="&amp;F236,DISPONIBILIDADE!F:F,I236,DISPONIBILIDADE!G:G,"Sim")+COUNTIFS(DISPONIBILIDADE!A:A,G236,DISPONIBILIDADE!C:C,C236,DISPONIBILIDADE!D:D,"&lt;="&amp;E236,DISPONIBILIDADE!E:E,"&gt;="&amp;F236,DISPONIBILIDADE!F:F,"Ambas",DISPONIBILIDADE!G:G,"Sim"))&gt;0,COUNTIFS($G$3:$G$502,G236,$B$3:$B$502,B236,$E$3:$E$502,"&lt;"&amp;F236,$F$3:$F$502,"&gt;"&amp;E236,$A$3:$A$502,"&lt;&gt;"&amp;A236)=0),"Sim","Não"))</f>
        <v/>
      </c>
      <c r="L236" s="13" t="str">
        <f>IF(OR(G236="",D236=""),"",IF(COUNTIFS('RESTRIÇÕES'!A:A,G236,'RESTRIÇÕES'!C:C,D236,'RESTRIÇÕES'!F:F,"Sim")&gt;0,"Com restrição","Sem restrição"))</f>
        <v/>
      </c>
      <c r="M236" s="13" t="str">
        <f t="shared" si="2"/>
        <v/>
      </c>
    </row>
    <row r="237" ht="15.75" customHeight="1">
      <c r="A237" s="11" t="str">
        <f t="shared" si="3"/>
        <v/>
      </c>
      <c r="B237" s="28"/>
      <c r="C237" s="11" t="str">
        <f t="shared" si="4"/>
        <v/>
      </c>
      <c r="D237" s="10"/>
      <c r="E237" s="19"/>
      <c r="F237" s="19"/>
      <c r="G237" s="10"/>
      <c r="H237" s="11" t="str">
        <f>IF(G237="","",IFERROR(VLOOKUP(G237,PROFESSORES!A:B,2,FALSE),""))</f>
        <v/>
      </c>
      <c r="I237" s="10"/>
      <c r="J237" s="10"/>
      <c r="K237" s="11" t="str">
        <f>IF(OR(G237="",C237="",E237="",F237="",I237=""),"",IF(AND((COUNTIFS(DISPONIBILIDADE!A:A,G237,DISPONIBILIDADE!C:C,C237,DISPONIBILIDADE!D:D,"&lt;="&amp;E237,DISPONIBILIDADE!E:E,"&gt;="&amp;F237,DISPONIBILIDADE!F:F,I237,DISPONIBILIDADE!G:G,"Sim")+COUNTIFS(DISPONIBILIDADE!A:A,G237,DISPONIBILIDADE!C:C,C237,DISPONIBILIDADE!D:D,"&lt;="&amp;E237,DISPONIBILIDADE!E:E,"&gt;="&amp;F237,DISPONIBILIDADE!F:F,"Ambas",DISPONIBILIDADE!G:G,"Sim"))&gt;0,COUNTIFS($G$3:$G$502,G237,$B$3:$B$502,B237,$E$3:$E$502,"&lt;"&amp;F237,$F$3:$F$502,"&gt;"&amp;E237,$A$3:$A$502,"&lt;&gt;"&amp;A237)=0),"Sim","Não"))</f>
        <v/>
      </c>
      <c r="L237" s="11" t="str">
        <f>IF(OR(G237="",D237=""),"",IF(COUNTIFS('RESTRIÇÕES'!A:A,G237,'RESTRIÇÕES'!C:C,D237,'RESTRIÇÕES'!F:F,"Sim")&gt;0,"Com restrição","Sem restrição"))</f>
        <v/>
      </c>
      <c r="M237" s="11" t="str">
        <f t="shared" si="2"/>
        <v/>
      </c>
    </row>
    <row r="238" ht="15.75" customHeight="1">
      <c r="A238" s="13" t="str">
        <f t="shared" si="3"/>
        <v/>
      </c>
      <c r="B238" s="27"/>
      <c r="C238" s="13" t="str">
        <f t="shared" si="4"/>
        <v/>
      </c>
      <c r="D238" s="12"/>
      <c r="E238" s="21"/>
      <c r="F238" s="21"/>
      <c r="G238" s="12"/>
      <c r="H238" s="13" t="str">
        <f>IF(G238="","",IFERROR(VLOOKUP(G238,PROFESSORES!A:B,2,FALSE),""))</f>
        <v/>
      </c>
      <c r="I238" s="12"/>
      <c r="J238" s="12"/>
      <c r="K238" s="13" t="str">
        <f>IF(OR(G238="",C238="",E238="",F238="",I238=""),"",IF(AND((COUNTIFS(DISPONIBILIDADE!A:A,G238,DISPONIBILIDADE!C:C,C238,DISPONIBILIDADE!D:D,"&lt;="&amp;E238,DISPONIBILIDADE!E:E,"&gt;="&amp;F238,DISPONIBILIDADE!F:F,I238,DISPONIBILIDADE!G:G,"Sim")+COUNTIFS(DISPONIBILIDADE!A:A,G238,DISPONIBILIDADE!C:C,C238,DISPONIBILIDADE!D:D,"&lt;="&amp;E238,DISPONIBILIDADE!E:E,"&gt;="&amp;F238,DISPONIBILIDADE!F:F,"Ambas",DISPONIBILIDADE!G:G,"Sim"))&gt;0,COUNTIFS($G$3:$G$502,G238,$B$3:$B$502,B238,$E$3:$E$502,"&lt;"&amp;F238,$F$3:$F$502,"&gt;"&amp;E238,$A$3:$A$502,"&lt;&gt;"&amp;A238)=0),"Sim","Não"))</f>
        <v/>
      </c>
      <c r="L238" s="13" t="str">
        <f>IF(OR(G238="",D238=""),"",IF(COUNTIFS('RESTRIÇÕES'!A:A,G238,'RESTRIÇÕES'!C:C,D238,'RESTRIÇÕES'!F:F,"Sim")&gt;0,"Com restrição","Sem restrição"))</f>
        <v/>
      </c>
      <c r="M238" s="13" t="str">
        <f t="shared" si="2"/>
        <v/>
      </c>
    </row>
    <row r="239" ht="15.75" customHeight="1">
      <c r="A239" s="11" t="str">
        <f t="shared" si="3"/>
        <v/>
      </c>
      <c r="B239" s="28"/>
      <c r="C239" s="11" t="str">
        <f t="shared" si="4"/>
        <v/>
      </c>
      <c r="D239" s="10"/>
      <c r="E239" s="19"/>
      <c r="F239" s="19"/>
      <c r="G239" s="10"/>
      <c r="H239" s="11" t="str">
        <f>IF(G239="","",IFERROR(VLOOKUP(G239,PROFESSORES!A:B,2,FALSE),""))</f>
        <v/>
      </c>
      <c r="I239" s="10"/>
      <c r="J239" s="10"/>
      <c r="K239" s="11" t="str">
        <f>IF(OR(G239="",C239="",E239="",F239="",I239=""),"",IF(AND((COUNTIFS(DISPONIBILIDADE!A:A,G239,DISPONIBILIDADE!C:C,C239,DISPONIBILIDADE!D:D,"&lt;="&amp;E239,DISPONIBILIDADE!E:E,"&gt;="&amp;F239,DISPONIBILIDADE!F:F,I239,DISPONIBILIDADE!G:G,"Sim")+COUNTIFS(DISPONIBILIDADE!A:A,G239,DISPONIBILIDADE!C:C,C239,DISPONIBILIDADE!D:D,"&lt;="&amp;E239,DISPONIBILIDADE!E:E,"&gt;="&amp;F239,DISPONIBILIDADE!F:F,"Ambas",DISPONIBILIDADE!G:G,"Sim"))&gt;0,COUNTIFS($G$3:$G$502,G239,$B$3:$B$502,B239,$E$3:$E$502,"&lt;"&amp;F239,$F$3:$F$502,"&gt;"&amp;E239,$A$3:$A$502,"&lt;&gt;"&amp;A239)=0),"Sim","Não"))</f>
        <v/>
      </c>
      <c r="L239" s="11" t="str">
        <f>IF(OR(G239="",D239=""),"",IF(COUNTIFS('RESTRIÇÕES'!A:A,G239,'RESTRIÇÕES'!C:C,D239,'RESTRIÇÕES'!F:F,"Sim")&gt;0,"Com restrição","Sem restrição"))</f>
        <v/>
      </c>
      <c r="M239" s="11" t="str">
        <f t="shared" si="2"/>
        <v/>
      </c>
    </row>
    <row r="240" ht="15.75" customHeight="1">
      <c r="A240" s="13" t="str">
        <f t="shared" si="3"/>
        <v/>
      </c>
      <c r="B240" s="27"/>
      <c r="C240" s="13" t="str">
        <f t="shared" si="4"/>
        <v/>
      </c>
      <c r="D240" s="12"/>
      <c r="E240" s="21"/>
      <c r="F240" s="21"/>
      <c r="G240" s="12"/>
      <c r="H240" s="13" t="str">
        <f>IF(G240="","",IFERROR(VLOOKUP(G240,PROFESSORES!A:B,2,FALSE),""))</f>
        <v/>
      </c>
      <c r="I240" s="12"/>
      <c r="J240" s="12"/>
      <c r="K240" s="13" t="str">
        <f>IF(OR(G240="",C240="",E240="",F240="",I240=""),"",IF(AND((COUNTIFS(DISPONIBILIDADE!A:A,G240,DISPONIBILIDADE!C:C,C240,DISPONIBILIDADE!D:D,"&lt;="&amp;E240,DISPONIBILIDADE!E:E,"&gt;="&amp;F240,DISPONIBILIDADE!F:F,I240,DISPONIBILIDADE!G:G,"Sim")+COUNTIFS(DISPONIBILIDADE!A:A,G240,DISPONIBILIDADE!C:C,C240,DISPONIBILIDADE!D:D,"&lt;="&amp;E240,DISPONIBILIDADE!E:E,"&gt;="&amp;F240,DISPONIBILIDADE!F:F,"Ambas",DISPONIBILIDADE!G:G,"Sim"))&gt;0,COUNTIFS($G$3:$G$502,G240,$B$3:$B$502,B240,$E$3:$E$502,"&lt;"&amp;F240,$F$3:$F$502,"&gt;"&amp;E240,$A$3:$A$502,"&lt;&gt;"&amp;A240)=0),"Sim","Não"))</f>
        <v/>
      </c>
      <c r="L240" s="13" t="str">
        <f>IF(OR(G240="",D240=""),"",IF(COUNTIFS('RESTRIÇÕES'!A:A,G240,'RESTRIÇÕES'!C:C,D240,'RESTRIÇÕES'!F:F,"Sim")&gt;0,"Com restrição","Sem restrição"))</f>
        <v/>
      </c>
      <c r="M240" s="13" t="str">
        <f t="shared" si="2"/>
        <v/>
      </c>
    </row>
    <row r="241" ht="15.75" customHeight="1">
      <c r="A241" s="11" t="str">
        <f t="shared" si="3"/>
        <v/>
      </c>
      <c r="B241" s="28"/>
      <c r="C241" s="11" t="str">
        <f t="shared" si="4"/>
        <v/>
      </c>
      <c r="D241" s="10"/>
      <c r="E241" s="19"/>
      <c r="F241" s="19"/>
      <c r="G241" s="10"/>
      <c r="H241" s="11" t="str">
        <f>IF(G241="","",IFERROR(VLOOKUP(G241,PROFESSORES!A:B,2,FALSE),""))</f>
        <v/>
      </c>
      <c r="I241" s="10"/>
      <c r="J241" s="10"/>
      <c r="K241" s="11" t="str">
        <f>IF(OR(G241="",C241="",E241="",F241="",I241=""),"",IF(AND((COUNTIFS(DISPONIBILIDADE!A:A,G241,DISPONIBILIDADE!C:C,C241,DISPONIBILIDADE!D:D,"&lt;="&amp;E241,DISPONIBILIDADE!E:E,"&gt;="&amp;F241,DISPONIBILIDADE!F:F,I241,DISPONIBILIDADE!G:G,"Sim")+COUNTIFS(DISPONIBILIDADE!A:A,G241,DISPONIBILIDADE!C:C,C241,DISPONIBILIDADE!D:D,"&lt;="&amp;E241,DISPONIBILIDADE!E:E,"&gt;="&amp;F241,DISPONIBILIDADE!F:F,"Ambas",DISPONIBILIDADE!G:G,"Sim"))&gt;0,COUNTIFS($G$3:$G$502,G241,$B$3:$B$502,B241,$E$3:$E$502,"&lt;"&amp;F241,$F$3:$F$502,"&gt;"&amp;E241,$A$3:$A$502,"&lt;&gt;"&amp;A241)=0),"Sim","Não"))</f>
        <v/>
      </c>
      <c r="L241" s="11" t="str">
        <f>IF(OR(G241="",D241=""),"",IF(COUNTIFS('RESTRIÇÕES'!A:A,G241,'RESTRIÇÕES'!C:C,D241,'RESTRIÇÕES'!F:F,"Sim")&gt;0,"Com restrição","Sem restrição"))</f>
        <v/>
      </c>
      <c r="M241" s="11" t="str">
        <f t="shared" si="2"/>
        <v/>
      </c>
    </row>
    <row r="242" ht="15.75" customHeight="1">
      <c r="A242" s="13" t="str">
        <f t="shared" si="3"/>
        <v/>
      </c>
      <c r="B242" s="27"/>
      <c r="C242" s="13" t="str">
        <f t="shared" si="4"/>
        <v/>
      </c>
      <c r="D242" s="12"/>
      <c r="E242" s="21"/>
      <c r="F242" s="21"/>
      <c r="G242" s="12"/>
      <c r="H242" s="13" t="str">
        <f>IF(G242="","",IFERROR(VLOOKUP(G242,PROFESSORES!A:B,2,FALSE),""))</f>
        <v/>
      </c>
      <c r="I242" s="12"/>
      <c r="J242" s="12"/>
      <c r="K242" s="13" t="str">
        <f>IF(OR(G242="",C242="",E242="",F242="",I242=""),"",IF(AND((COUNTIFS(DISPONIBILIDADE!A:A,G242,DISPONIBILIDADE!C:C,C242,DISPONIBILIDADE!D:D,"&lt;="&amp;E242,DISPONIBILIDADE!E:E,"&gt;="&amp;F242,DISPONIBILIDADE!F:F,I242,DISPONIBILIDADE!G:G,"Sim")+COUNTIFS(DISPONIBILIDADE!A:A,G242,DISPONIBILIDADE!C:C,C242,DISPONIBILIDADE!D:D,"&lt;="&amp;E242,DISPONIBILIDADE!E:E,"&gt;="&amp;F242,DISPONIBILIDADE!F:F,"Ambas",DISPONIBILIDADE!G:G,"Sim"))&gt;0,COUNTIFS($G$3:$G$502,G242,$B$3:$B$502,B242,$E$3:$E$502,"&lt;"&amp;F242,$F$3:$F$502,"&gt;"&amp;E242,$A$3:$A$502,"&lt;&gt;"&amp;A242)=0),"Sim","Não"))</f>
        <v/>
      </c>
      <c r="L242" s="13" t="str">
        <f>IF(OR(G242="",D242=""),"",IF(COUNTIFS('RESTRIÇÕES'!A:A,G242,'RESTRIÇÕES'!C:C,D242,'RESTRIÇÕES'!F:F,"Sim")&gt;0,"Com restrição","Sem restrição"))</f>
        <v/>
      </c>
      <c r="M242" s="13" t="str">
        <f t="shared" si="2"/>
        <v/>
      </c>
    </row>
    <row r="243" ht="15.75" customHeight="1">
      <c r="A243" s="11" t="str">
        <f t="shared" si="3"/>
        <v/>
      </c>
      <c r="B243" s="28"/>
      <c r="C243" s="11" t="str">
        <f t="shared" si="4"/>
        <v/>
      </c>
      <c r="D243" s="10"/>
      <c r="E243" s="19"/>
      <c r="F243" s="19"/>
      <c r="G243" s="10"/>
      <c r="H243" s="11" t="str">
        <f>IF(G243="","",IFERROR(VLOOKUP(G243,PROFESSORES!A:B,2,FALSE),""))</f>
        <v/>
      </c>
      <c r="I243" s="10"/>
      <c r="J243" s="10"/>
      <c r="K243" s="11" t="str">
        <f>IF(OR(G243="",C243="",E243="",F243="",I243=""),"",IF(AND((COUNTIFS(DISPONIBILIDADE!A:A,G243,DISPONIBILIDADE!C:C,C243,DISPONIBILIDADE!D:D,"&lt;="&amp;E243,DISPONIBILIDADE!E:E,"&gt;="&amp;F243,DISPONIBILIDADE!F:F,I243,DISPONIBILIDADE!G:G,"Sim")+COUNTIFS(DISPONIBILIDADE!A:A,G243,DISPONIBILIDADE!C:C,C243,DISPONIBILIDADE!D:D,"&lt;="&amp;E243,DISPONIBILIDADE!E:E,"&gt;="&amp;F243,DISPONIBILIDADE!F:F,"Ambas",DISPONIBILIDADE!G:G,"Sim"))&gt;0,COUNTIFS($G$3:$G$502,G243,$B$3:$B$502,B243,$E$3:$E$502,"&lt;"&amp;F243,$F$3:$F$502,"&gt;"&amp;E243,$A$3:$A$502,"&lt;&gt;"&amp;A243)=0),"Sim","Não"))</f>
        <v/>
      </c>
      <c r="L243" s="11" t="str">
        <f>IF(OR(G243="",D243=""),"",IF(COUNTIFS('RESTRIÇÕES'!A:A,G243,'RESTRIÇÕES'!C:C,D243,'RESTRIÇÕES'!F:F,"Sim")&gt;0,"Com restrição","Sem restrição"))</f>
        <v/>
      </c>
      <c r="M243" s="11" t="str">
        <f t="shared" si="2"/>
        <v/>
      </c>
    </row>
    <row r="244" ht="15.75" customHeight="1">
      <c r="A244" s="13" t="str">
        <f t="shared" si="3"/>
        <v/>
      </c>
      <c r="B244" s="27"/>
      <c r="C244" s="13" t="str">
        <f t="shared" si="4"/>
        <v/>
      </c>
      <c r="D244" s="12"/>
      <c r="E244" s="21"/>
      <c r="F244" s="21"/>
      <c r="G244" s="12"/>
      <c r="H244" s="13" t="str">
        <f>IF(G244="","",IFERROR(VLOOKUP(G244,PROFESSORES!A:B,2,FALSE),""))</f>
        <v/>
      </c>
      <c r="I244" s="12"/>
      <c r="J244" s="12"/>
      <c r="K244" s="13" t="str">
        <f>IF(OR(G244="",C244="",E244="",F244="",I244=""),"",IF(AND((COUNTIFS(DISPONIBILIDADE!A:A,G244,DISPONIBILIDADE!C:C,C244,DISPONIBILIDADE!D:D,"&lt;="&amp;E244,DISPONIBILIDADE!E:E,"&gt;="&amp;F244,DISPONIBILIDADE!F:F,I244,DISPONIBILIDADE!G:G,"Sim")+COUNTIFS(DISPONIBILIDADE!A:A,G244,DISPONIBILIDADE!C:C,C244,DISPONIBILIDADE!D:D,"&lt;="&amp;E244,DISPONIBILIDADE!E:E,"&gt;="&amp;F244,DISPONIBILIDADE!F:F,"Ambas",DISPONIBILIDADE!G:G,"Sim"))&gt;0,COUNTIFS($G$3:$G$502,G244,$B$3:$B$502,B244,$E$3:$E$502,"&lt;"&amp;F244,$F$3:$F$502,"&gt;"&amp;E244,$A$3:$A$502,"&lt;&gt;"&amp;A244)=0),"Sim","Não"))</f>
        <v/>
      </c>
      <c r="L244" s="13" t="str">
        <f>IF(OR(G244="",D244=""),"",IF(COUNTIFS('RESTRIÇÕES'!A:A,G244,'RESTRIÇÕES'!C:C,D244,'RESTRIÇÕES'!F:F,"Sim")&gt;0,"Com restrição","Sem restrição"))</f>
        <v/>
      </c>
      <c r="M244" s="13" t="str">
        <f t="shared" si="2"/>
        <v/>
      </c>
    </row>
    <row r="245" ht="15.75" customHeight="1">
      <c r="A245" s="11" t="str">
        <f t="shared" si="3"/>
        <v/>
      </c>
      <c r="B245" s="28"/>
      <c r="C245" s="11" t="str">
        <f t="shared" si="4"/>
        <v/>
      </c>
      <c r="D245" s="10"/>
      <c r="E245" s="19"/>
      <c r="F245" s="19"/>
      <c r="G245" s="10"/>
      <c r="H245" s="11" t="str">
        <f>IF(G245="","",IFERROR(VLOOKUP(G245,PROFESSORES!A:B,2,FALSE),""))</f>
        <v/>
      </c>
      <c r="I245" s="10"/>
      <c r="J245" s="10"/>
      <c r="K245" s="11" t="str">
        <f>IF(OR(G245="",C245="",E245="",F245="",I245=""),"",IF(AND((COUNTIFS(DISPONIBILIDADE!A:A,G245,DISPONIBILIDADE!C:C,C245,DISPONIBILIDADE!D:D,"&lt;="&amp;E245,DISPONIBILIDADE!E:E,"&gt;="&amp;F245,DISPONIBILIDADE!F:F,I245,DISPONIBILIDADE!G:G,"Sim")+COUNTIFS(DISPONIBILIDADE!A:A,G245,DISPONIBILIDADE!C:C,C245,DISPONIBILIDADE!D:D,"&lt;="&amp;E245,DISPONIBILIDADE!E:E,"&gt;="&amp;F245,DISPONIBILIDADE!F:F,"Ambas",DISPONIBILIDADE!G:G,"Sim"))&gt;0,COUNTIFS($G$3:$G$502,G245,$B$3:$B$502,B245,$E$3:$E$502,"&lt;"&amp;F245,$F$3:$F$502,"&gt;"&amp;E245,$A$3:$A$502,"&lt;&gt;"&amp;A245)=0),"Sim","Não"))</f>
        <v/>
      </c>
      <c r="L245" s="11" t="str">
        <f>IF(OR(G245="",D245=""),"",IF(COUNTIFS('RESTRIÇÕES'!A:A,G245,'RESTRIÇÕES'!C:C,D245,'RESTRIÇÕES'!F:F,"Sim")&gt;0,"Com restrição","Sem restrição"))</f>
        <v/>
      </c>
      <c r="M245" s="11" t="str">
        <f t="shared" si="2"/>
        <v/>
      </c>
    </row>
    <row r="246" ht="15.75" customHeight="1">
      <c r="A246" s="13" t="str">
        <f t="shared" si="3"/>
        <v/>
      </c>
      <c r="B246" s="27"/>
      <c r="C246" s="13" t="str">
        <f t="shared" si="4"/>
        <v/>
      </c>
      <c r="D246" s="12"/>
      <c r="E246" s="21"/>
      <c r="F246" s="21"/>
      <c r="G246" s="12"/>
      <c r="H246" s="13" t="str">
        <f>IF(G246="","",IFERROR(VLOOKUP(G246,PROFESSORES!A:B,2,FALSE),""))</f>
        <v/>
      </c>
      <c r="I246" s="12"/>
      <c r="J246" s="12"/>
      <c r="K246" s="13" t="str">
        <f>IF(OR(G246="",C246="",E246="",F246="",I246=""),"",IF(AND((COUNTIFS(DISPONIBILIDADE!A:A,G246,DISPONIBILIDADE!C:C,C246,DISPONIBILIDADE!D:D,"&lt;="&amp;E246,DISPONIBILIDADE!E:E,"&gt;="&amp;F246,DISPONIBILIDADE!F:F,I246,DISPONIBILIDADE!G:G,"Sim")+COUNTIFS(DISPONIBILIDADE!A:A,G246,DISPONIBILIDADE!C:C,C246,DISPONIBILIDADE!D:D,"&lt;="&amp;E246,DISPONIBILIDADE!E:E,"&gt;="&amp;F246,DISPONIBILIDADE!F:F,"Ambas",DISPONIBILIDADE!G:G,"Sim"))&gt;0,COUNTIFS($G$3:$G$502,G246,$B$3:$B$502,B246,$E$3:$E$502,"&lt;"&amp;F246,$F$3:$F$502,"&gt;"&amp;E246,$A$3:$A$502,"&lt;&gt;"&amp;A246)=0),"Sim","Não"))</f>
        <v/>
      </c>
      <c r="L246" s="13" t="str">
        <f>IF(OR(G246="",D246=""),"",IF(COUNTIFS('RESTRIÇÕES'!A:A,G246,'RESTRIÇÕES'!C:C,D246,'RESTRIÇÕES'!F:F,"Sim")&gt;0,"Com restrição","Sem restrição"))</f>
        <v/>
      </c>
      <c r="M246" s="13" t="str">
        <f t="shared" si="2"/>
        <v/>
      </c>
    </row>
    <row r="247" ht="15.75" customHeight="1">
      <c r="A247" s="11" t="str">
        <f t="shared" si="3"/>
        <v/>
      </c>
      <c r="B247" s="28"/>
      <c r="C247" s="11" t="str">
        <f t="shared" si="4"/>
        <v/>
      </c>
      <c r="D247" s="10"/>
      <c r="E247" s="19"/>
      <c r="F247" s="19"/>
      <c r="G247" s="10"/>
      <c r="H247" s="11" t="str">
        <f>IF(G247="","",IFERROR(VLOOKUP(G247,PROFESSORES!A:B,2,FALSE),""))</f>
        <v/>
      </c>
      <c r="I247" s="10"/>
      <c r="J247" s="10"/>
      <c r="K247" s="11" t="str">
        <f>IF(OR(G247="",C247="",E247="",F247="",I247=""),"",IF(AND((COUNTIFS(DISPONIBILIDADE!A:A,G247,DISPONIBILIDADE!C:C,C247,DISPONIBILIDADE!D:D,"&lt;="&amp;E247,DISPONIBILIDADE!E:E,"&gt;="&amp;F247,DISPONIBILIDADE!F:F,I247,DISPONIBILIDADE!G:G,"Sim")+COUNTIFS(DISPONIBILIDADE!A:A,G247,DISPONIBILIDADE!C:C,C247,DISPONIBILIDADE!D:D,"&lt;="&amp;E247,DISPONIBILIDADE!E:E,"&gt;="&amp;F247,DISPONIBILIDADE!F:F,"Ambas",DISPONIBILIDADE!G:G,"Sim"))&gt;0,COUNTIFS($G$3:$G$502,G247,$B$3:$B$502,B247,$E$3:$E$502,"&lt;"&amp;F247,$F$3:$F$502,"&gt;"&amp;E247,$A$3:$A$502,"&lt;&gt;"&amp;A247)=0),"Sim","Não"))</f>
        <v/>
      </c>
      <c r="L247" s="11" t="str">
        <f>IF(OR(G247="",D247=""),"",IF(COUNTIFS('RESTRIÇÕES'!A:A,G247,'RESTRIÇÕES'!C:C,D247,'RESTRIÇÕES'!F:F,"Sim")&gt;0,"Com restrição","Sem restrição"))</f>
        <v/>
      </c>
      <c r="M247" s="11" t="str">
        <f t="shared" si="2"/>
        <v/>
      </c>
    </row>
    <row r="248" ht="15.75" customHeight="1">
      <c r="A248" s="13" t="str">
        <f t="shared" si="3"/>
        <v/>
      </c>
      <c r="B248" s="27"/>
      <c r="C248" s="13" t="str">
        <f t="shared" si="4"/>
        <v/>
      </c>
      <c r="D248" s="12"/>
      <c r="E248" s="21"/>
      <c r="F248" s="21"/>
      <c r="G248" s="12"/>
      <c r="H248" s="13" t="str">
        <f>IF(G248="","",IFERROR(VLOOKUP(G248,PROFESSORES!A:B,2,FALSE),""))</f>
        <v/>
      </c>
      <c r="I248" s="12"/>
      <c r="J248" s="12"/>
      <c r="K248" s="13" t="str">
        <f>IF(OR(G248="",C248="",E248="",F248="",I248=""),"",IF(AND((COUNTIFS(DISPONIBILIDADE!A:A,G248,DISPONIBILIDADE!C:C,C248,DISPONIBILIDADE!D:D,"&lt;="&amp;E248,DISPONIBILIDADE!E:E,"&gt;="&amp;F248,DISPONIBILIDADE!F:F,I248,DISPONIBILIDADE!G:G,"Sim")+COUNTIFS(DISPONIBILIDADE!A:A,G248,DISPONIBILIDADE!C:C,C248,DISPONIBILIDADE!D:D,"&lt;="&amp;E248,DISPONIBILIDADE!E:E,"&gt;="&amp;F248,DISPONIBILIDADE!F:F,"Ambas",DISPONIBILIDADE!G:G,"Sim"))&gt;0,COUNTIFS($G$3:$G$502,G248,$B$3:$B$502,B248,$E$3:$E$502,"&lt;"&amp;F248,$F$3:$F$502,"&gt;"&amp;E248,$A$3:$A$502,"&lt;&gt;"&amp;A248)=0),"Sim","Não"))</f>
        <v/>
      </c>
      <c r="L248" s="13" t="str">
        <f>IF(OR(G248="",D248=""),"",IF(COUNTIFS('RESTRIÇÕES'!A:A,G248,'RESTRIÇÕES'!C:C,D248,'RESTRIÇÕES'!F:F,"Sim")&gt;0,"Com restrição","Sem restrição"))</f>
        <v/>
      </c>
      <c r="M248" s="13" t="str">
        <f t="shared" si="2"/>
        <v/>
      </c>
    </row>
    <row r="249" ht="15.75" customHeight="1">
      <c r="A249" s="11" t="str">
        <f t="shared" si="3"/>
        <v/>
      </c>
      <c r="B249" s="28"/>
      <c r="C249" s="11" t="str">
        <f t="shared" si="4"/>
        <v/>
      </c>
      <c r="D249" s="10"/>
      <c r="E249" s="19"/>
      <c r="F249" s="19"/>
      <c r="G249" s="10"/>
      <c r="H249" s="11" t="str">
        <f>IF(G249="","",IFERROR(VLOOKUP(G249,PROFESSORES!A:B,2,FALSE),""))</f>
        <v/>
      </c>
      <c r="I249" s="10"/>
      <c r="J249" s="10"/>
      <c r="K249" s="11" t="str">
        <f>IF(OR(G249="",C249="",E249="",F249="",I249=""),"",IF(AND((COUNTIFS(DISPONIBILIDADE!A:A,G249,DISPONIBILIDADE!C:C,C249,DISPONIBILIDADE!D:D,"&lt;="&amp;E249,DISPONIBILIDADE!E:E,"&gt;="&amp;F249,DISPONIBILIDADE!F:F,I249,DISPONIBILIDADE!G:G,"Sim")+COUNTIFS(DISPONIBILIDADE!A:A,G249,DISPONIBILIDADE!C:C,C249,DISPONIBILIDADE!D:D,"&lt;="&amp;E249,DISPONIBILIDADE!E:E,"&gt;="&amp;F249,DISPONIBILIDADE!F:F,"Ambas",DISPONIBILIDADE!G:G,"Sim"))&gt;0,COUNTIFS($G$3:$G$502,G249,$B$3:$B$502,B249,$E$3:$E$502,"&lt;"&amp;F249,$F$3:$F$502,"&gt;"&amp;E249,$A$3:$A$502,"&lt;&gt;"&amp;A249)=0),"Sim","Não"))</f>
        <v/>
      </c>
      <c r="L249" s="11" t="str">
        <f>IF(OR(G249="",D249=""),"",IF(COUNTIFS('RESTRIÇÕES'!A:A,G249,'RESTRIÇÕES'!C:C,D249,'RESTRIÇÕES'!F:F,"Sim")&gt;0,"Com restrição","Sem restrição"))</f>
        <v/>
      </c>
      <c r="M249" s="11" t="str">
        <f t="shared" si="2"/>
        <v/>
      </c>
    </row>
    <row r="250" ht="15.75" customHeight="1">
      <c r="A250" s="13" t="str">
        <f t="shared" si="3"/>
        <v/>
      </c>
      <c r="B250" s="27"/>
      <c r="C250" s="13" t="str">
        <f t="shared" si="4"/>
        <v/>
      </c>
      <c r="D250" s="12"/>
      <c r="E250" s="21"/>
      <c r="F250" s="21"/>
      <c r="G250" s="12"/>
      <c r="H250" s="13" t="str">
        <f>IF(G250="","",IFERROR(VLOOKUP(G250,PROFESSORES!A:B,2,FALSE),""))</f>
        <v/>
      </c>
      <c r="I250" s="12"/>
      <c r="J250" s="12"/>
      <c r="K250" s="13" t="str">
        <f>IF(OR(G250="",C250="",E250="",F250="",I250=""),"",IF(AND((COUNTIFS(DISPONIBILIDADE!A:A,G250,DISPONIBILIDADE!C:C,C250,DISPONIBILIDADE!D:D,"&lt;="&amp;E250,DISPONIBILIDADE!E:E,"&gt;="&amp;F250,DISPONIBILIDADE!F:F,I250,DISPONIBILIDADE!G:G,"Sim")+COUNTIFS(DISPONIBILIDADE!A:A,G250,DISPONIBILIDADE!C:C,C250,DISPONIBILIDADE!D:D,"&lt;="&amp;E250,DISPONIBILIDADE!E:E,"&gt;="&amp;F250,DISPONIBILIDADE!F:F,"Ambas",DISPONIBILIDADE!G:G,"Sim"))&gt;0,COUNTIFS($G$3:$G$502,G250,$B$3:$B$502,B250,$E$3:$E$502,"&lt;"&amp;F250,$F$3:$F$502,"&gt;"&amp;E250,$A$3:$A$502,"&lt;&gt;"&amp;A250)=0),"Sim","Não"))</f>
        <v/>
      </c>
      <c r="L250" s="13" t="str">
        <f>IF(OR(G250="",D250=""),"",IF(COUNTIFS('RESTRIÇÕES'!A:A,G250,'RESTRIÇÕES'!C:C,D250,'RESTRIÇÕES'!F:F,"Sim")&gt;0,"Com restrição","Sem restrição"))</f>
        <v/>
      </c>
      <c r="M250" s="13" t="str">
        <f t="shared" si="2"/>
        <v/>
      </c>
    </row>
    <row r="251" ht="15.75" customHeight="1">
      <c r="A251" s="11" t="str">
        <f t="shared" si="3"/>
        <v/>
      </c>
      <c r="B251" s="28"/>
      <c r="C251" s="11" t="str">
        <f t="shared" si="4"/>
        <v/>
      </c>
      <c r="D251" s="10"/>
      <c r="E251" s="19"/>
      <c r="F251" s="19"/>
      <c r="G251" s="10"/>
      <c r="H251" s="11" t="str">
        <f>IF(G251="","",IFERROR(VLOOKUP(G251,PROFESSORES!A:B,2,FALSE),""))</f>
        <v/>
      </c>
      <c r="I251" s="10"/>
      <c r="J251" s="10"/>
      <c r="K251" s="11" t="str">
        <f>IF(OR(G251="",C251="",E251="",F251="",I251=""),"",IF(AND((COUNTIFS(DISPONIBILIDADE!A:A,G251,DISPONIBILIDADE!C:C,C251,DISPONIBILIDADE!D:D,"&lt;="&amp;E251,DISPONIBILIDADE!E:E,"&gt;="&amp;F251,DISPONIBILIDADE!F:F,I251,DISPONIBILIDADE!G:G,"Sim")+COUNTIFS(DISPONIBILIDADE!A:A,G251,DISPONIBILIDADE!C:C,C251,DISPONIBILIDADE!D:D,"&lt;="&amp;E251,DISPONIBILIDADE!E:E,"&gt;="&amp;F251,DISPONIBILIDADE!F:F,"Ambas",DISPONIBILIDADE!G:G,"Sim"))&gt;0,COUNTIFS($G$3:$G$502,G251,$B$3:$B$502,B251,$E$3:$E$502,"&lt;"&amp;F251,$F$3:$F$502,"&gt;"&amp;E251,$A$3:$A$502,"&lt;&gt;"&amp;A251)=0),"Sim","Não"))</f>
        <v/>
      </c>
      <c r="L251" s="11" t="str">
        <f>IF(OR(G251="",D251=""),"",IF(COUNTIFS('RESTRIÇÕES'!A:A,G251,'RESTRIÇÕES'!C:C,D251,'RESTRIÇÕES'!F:F,"Sim")&gt;0,"Com restrição","Sem restrição"))</f>
        <v/>
      </c>
      <c r="M251" s="11" t="str">
        <f t="shared" si="2"/>
        <v/>
      </c>
    </row>
    <row r="252" ht="15.75" customHeight="1">
      <c r="A252" s="13" t="str">
        <f t="shared" si="3"/>
        <v/>
      </c>
      <c r="B252" s="27"/>
      <c r="C252" s="13" t="str">
        <f t="shared" si="4"/>
        <v/>
      </c>
      <c r="D252" s="12"/>
      <c r="E252" s="21"/>
      <c r="F252" s="21"/>
      <c r="G252" s="12"/>
      <c r="H252" s="13" t="str">
        <f>IF(G252="","",IFERROR(VLOOKUP(G252,PROFESSORES!A:B,2,FALSE),""))</f>
        <v/>
      </c>
      <c r="I252" s="12"/>
      <c r="J252" s="12"/>
      <c r="K252" s="13" t="str">
        <f>IF(OR(G252="",C252="",E252="",F252="",I252=""),"",IF(AND((COUNTIFS(DISPONIBILIDADE!A:A,G252,DISPONIBILIDADE!C:C,C252,DISPONIBILIDADE!D:D,"&lt;="&amp;E252,DISPONIBILIDADE!E:E,"&gt;="&amp;F252,DISPONIBILIDADE!F:F,I252,DISPONIBILIDADE!G:G,"Sim")+COUNTIFS(DISPONIBILIDADE!A:A,G252,DISPONIBILIDADE!C:C,C252,DISPONIBILIDADE!D:D,"&lt;="&amp;E252,DISPONIBILIDADE!E:E,"&gt;="&amp;F252,DISPONIBILIDADE!F:F,"Ambas",DISPONIBILIDADE!G:G,"Sim"))&gt;0,COUNTIFS($G$3:$G$502,G252,$B$3:$B$502,B252,$E$3:$E$502,"&lt;"&amp;F252,$F$3:$F$502,"&gt;"&amp;E252,$A$3:$A$502,"&lt;&gt;"&amp;A252)=0),"Sim","Não"))</f>
        <v/>
      </c>
      <c r="L252" s="13" t="str">
        <f>IF(OR(G252="",D252=""),"",IF(COUNTIFS('RESTRIÇÕES'!A:A,G252,'RESTRIÇÕES'!C:C,D252,'RESTRIÇÕES'!F:F,"Sim")&gt;0,"Com restrição","Sem restrição"))</f>
        <v/>
      </c>
      <c r="M252" s="13" t="str">
        <f t="shared" si="2"/>
        <v/>
      </c>
    </row>
    <row r="253" ht="15.75" customHeight="1">
      <c r="A253" s="11" t="str">
        <f t="shared" si="3"/>
        <v/>
      </c>
      <c r="B253" s="28"/>
      <c r="C253" s="11" t="str">
        <f t="shared" si="4"/>
        <v/>
      </c>
      <c r="D253" s="10"/>
      <c r="E253" s="19"/>
      <c r="F253" s="19"/>
      <c r="G253" s="10"/>
      <c r="H253" s="11" t="str">
        <f>IF(G253="","",IFERROR(VLOOKUP(G253,PROFESSORES!A:B,2,FALSE),""))</f>
        <v/>
      </c>
      <c r="I253" s="10"/>
      <c r="J253" s="10"/>
      <c r="K253" s="11" t="str">
        <f>IF(OR(G253="",C253="",E253="",F253="",I253=""),"",IF(AND((COUNTIFS(DISPONIBILIDADE!A:A,G253,DISPONIBILIDADE!C:C,C253,DISPONIBILIDADE!D:D,"&lt;="&amp;E253,DISPONIBILIDADE!E:E,"&gt;="&amp;F253,DISPONIBILIDADE!F:F,I253,DISPONIBILIDADE!G:G,"Sim")+COUNTIFS(DISPONIBILIDADE!A:A,G253,DISPONIBILIDADE!C:C,C253,DISPONIBILIDADE!D:D,"&lt;="&amp;E253,DISPONIBILIDADE!E:E,"&gt;="&amp;F253,DISPONIBILIDADE!F:F,"Ambas",DISPONIBILIDADE!G:G,"Sim"))&gt;0,COUNTIFS($G$3:$G$502,G253,$B$3:$B$502,B253,$E$3:$E$502,"&lt;"&amp;F253,$F$3:$F$502,"&gt;"&amp;E253,$A$3:$A$502,"&lt;&gt;"&amp;A253)=0),"Sim","Não"))</f>
        <v/>
      </c>
      <c r="L253" s="11" t="str">
        <f>IF(OR(G253="",D253=""),"",IF(COUNTIFS('RESTRIÇÕES'!A:A,G253,'RESTRIÇÕES'!C:C,D253,'RESTRIÇÕES'!F:F,"Sim")&gt;0,"Com restrição","Sem restrição"))</f>
        <v/>
      </c>
      <c r="M253" s="11" t="str">
        <f t="shared" si="2"/>
        <v/>
      </c>
    </row>
    <row r="254" ht="15.75" customHeight="1">
      <c r="A254" s="13" t="str">
        <f t="shared" si="3"/>
        <v/>
      </c>
      <c r="B254" s="27"/>
      <c r="C254" s="13" t="str">
        <f t="shared" si="4"/>
        <v/>
      </c>
      <c r="D254" s="12"/>
      <c r="E254" s="21"/>
      <c r="F254" s="21"/>
      <c r="G254" s="12"/>
      <c r="H254" s="13" t="str">
        <f>IF(G254="","",IFERROR(VLOOKUP(G254,PROFESSORES!A:B,2,FALSE),""))</f>
        <v/>
      </c>
      <c r="I254" s="12"/>
      <c r="J254" s="12"/>
      <c r="K254" s="13" t="str">
        <f>IF(OR(G254="",C254="",E254="",F254="",I254=""),"",IF(AND((COUNTIFS(DISPONIBILIDADE!A:A,G254,DISPONIBILIDADE!C:C,C254,DISPONIBILIDADE!D:D,"&lt;="&amp;E254,DISPONIBILIDADE!E:E,"&gt;="&amp;F254,DISPONIBILIDADE!F:F,I254,DISPONIBILIDADE!G:G,"Sim")+COUNTIFS(DISPONIBILIDADE!A:A,G254,DISPONIBILIDADE!C:C,C254,DISPONIBILIDADE!D:D,"&lt;="&amp;E254,DISPONIBILIDADE!E:E,"&gt;="&amp;F254,DISPONIBILIDADE!F:F,"Ambas",DISPONIBILIDADE!G:G,"Sim"))&gt;0,COUNTIFS($G$3:$G$502,G254,$B$3:$B$502,B254,$E$3:$E$502,"&lt;"&amp;F254,$F$3:$F$502,"&gt;"&amp;E254,$A$3:$A$502,"&lt;&gt;"&amp;A254)=0),"Sim","Não"))</f>
        <v/>
      </c>
      <c r="L254" s="13" t="str">
        <f>IF(OR(G254="",D254=""),"",IF(COUNTIFS('RESTRIÇÕES'!A:A,G254,'RESTRIÇÕES'!C:C,D254,'RESTRIÇÕES'!F:F,"Sim")&gt;0,"Com restrição","Sem restrição"))</f>
        <v/>
      </c>
      <c r="M254" s="13" t="str">
        <f t="shared" si="2"/>
        <v/>
      </c>
    </row>
    <row r="255" ht="15.75" customHeight="1">
      <c r="A255" s="11" t="str">
        <f t="shared" si="3"/>
        <v/>
      </c>
      <c r="B255" s="28"/>
      <c r="C255" s="11" t="str">
        <f t="shared" si="4"/>
        <v/>
      </c>
      <c r="D255" s="10"/>
      <c r="E255" s="19"/>
      <c r="F255" s="19"/>
      <c r="G255" s="10"/>
      <c r="H255" s="11" t="str">
        <f>IF(G255="","",IFERROR(VLOOKUP(G255,PROFESSORES!A:B,2,FALSE),""))</f>
        <v/>
      </c>
      <c r="I255" s="10"/>
      <c r="J255" s="10"/>
      <c r="K255" s="11" t="str">
        <f>IF(OR(G255="",C255="",E255="",F255="",I255=""),"",IF(AND((COUNTIFS(DISPONIBILIDADE!A:A,G255,DISPONIBILIDADE!C:C,C255,DISPONIBILIDADE!D:D,"&lt;="&amp;E255,DISPONIBILIDADE!E:E,"&gt;="&amp;F255,DISPONIBILIDADE!F:F,I255,DISPONIBILIDADE!G:G,"Sim")+COUNTIFS(DISPONIBILIDADE!A:A,G255,DISPONIBILIDADE!C:C,C255,DISPONIBILIDADE!D:D,"&lt;="&amp;E255,DISPONIBILIDADE!E:E,"&gt;="&amp;F255,DISPONIBILIDADE!F:F,"Ambas",DISPONIBILIDADE!G:G,"Sim"))&gt;0,COUNTIFS($G$3:$G$502,G255,$B$3:$B$502,B255,$E$3:$E$502,"&lt;"&amp;F255,$F$3:$F$502,"&gt;"&amp;E255,$A$3:$A$502,"&lt;&gt;"&amp;A255)=0),"Sim","Não"))</f>
        <v/>
      </c>
      <c r="L255" s="11" t="str">
        <f>IF(OR(G255="",D255=""),"",IF(COUNTIFS('RESTRIÇÕES'!A:A,G255,'RESTRIÇÕES'!C:C,D255,'RESTRIÇÕES'!F:F,"Sim")&gt;0,"Com restrição","Sem restrição"))</f>
        <v/>
      </c>
      <c r="M255" s="11" t="str">
        <f t="shared" si="2"/>
        <v/>
      </c>
    </row>
    <row r="256" ht="15.75" customHeight="1">
      <c r="A256" s="13" t="str">
        <f t="shared" si="3"/>
        <v/>
      </c>
      <c r="B256" s="27"/>
      <c r="C256" s="13" t="str">
        <f t="shared" si="4"/>
        <v/>
      </c>
      <c r="D256" s="12"/>
      <c r="E256" s="21"/>
      <c r="F256" s="21"/>
      <c r="G256" s="12"/>
      <c r="H256" s="13" t="str">
        <f>IF(G256="","",IFERROR(VLOOKUP(G256,PROFESSORES!A:B,2,FALSE),""))</f>
        <v/>
      </c>
      <c r="I256" s="12"/>
      <c r="J256" s="12"/>
      <c r="K256" s="13" t="str">
        <f>IF(OR(G256="",C256="",E256="",F256="",I256=""),"",IF(AND((COUNTIFS(DISPONIBILIDADE!A:A,G256,DISPONIBILIDADE!C:C,C256,DISPONIBILIDADE!D:D,"&lt;="&amp;E256,DISPONIBILIDADE!E:E,"&gt;="&amp;F256,DISPONIBILIDADE!F:F,I256,DISPONIBILIDADE!G:G,"Sim")+COUNTIFS(DISPONIBILIDADE!A:A,G256,DISPONIBILIDADE!C:C,C256,DISPONIBILIDADE!D:D,"&lt;="&amp;E256,DISPONIBILIDADE!E:E,"&gt;="&amp;F256,DISPONIBILIDADE!F:F,"Ambas",DISPONIBILIDADE!G:G,"Sim"))&gt;0,COUNTIFS($G$3:$G$502,G256,$B$3:$B$502,B256,$E$3:$E$502,"&lt;"&amp;F256,$F$3:$F$502,"&gt;"&amp;E256,$A$3:$A$502,"&lt;&gt;"&amp;A256)=0),"Sim","Não"))</f>
        <v/>
      </c>
      <c r="L256" s="13" t="str">
        <f>IF(OR(G256="",D256=""),"",IF(COUNTIFS('RESTRIÇÕES'!A:A,G256,'RESTRIÇÕES'!C:C,D256,'RESTRIÇÕES'!F:F,"Sim")&gt;0,"Com restrição","Sem restrição"))</f>
        <v/>
      </c>
      <c r="M256" s="13" t="str">
        <f t="shared" si="2"/>
        <v/>
      </c>
    </row>
    <row r="257" ht="15.75" customHeight="1">
      <c r="A257" s="11" t="str">
        <f t="shared" si="3"/>
        <v/>
      </c>
      <c r="B257" s="28"/>
      <c r="C257" s="11" t="str">
        <f t="shared" si="4"/>
        <v/>
      </c>
      <c r="D257" s="10"/>
      <c r="E257" s="19"/>
      <c r="F257" s="19"/>
      <c r="G257" s="10"/>
      <c r="H257" s="11" t="str">
        <f>IF(G257="","",IFERROR(VLOOKUP(G257,PROFESSORES!A:B,2,FALSE),""))</f>
        <v/>
      </c>
      <c r="I257" s="10"/>
      <c r="J257" s="10"/>
      <c r="K257" s="11" t="str">
        <f>IF(OR(G257="",C257="",E257="",F257="",I257=""),"",IF(AND((COUNTIFS(DISPONIBILIDADE!A:A,G257,DISPONIBILIDADE!C:C,C257,DISPONIBILIDADE!D:D,"&lt;="&amp;E257,DISPONIBILIDADE!E:E,"&gt;="&amp;F257,DISPONIBILIDADE!F:F,I257,DISPONIBILIDADE!G:G,"Sim")+COUNTIFS(DISPONIBILIDADE!A:A,G257,DISPONIBILIDADE!C:C,C257,DISPONIBILIDADE!D:D,"&lt;="&amp;E257,DISPONIBILIDADE!E:E,"&gt;="&amp;F257,DISPONIBILIDADE!F:F,"Ambas",DISPONIBILIDADE!G:G,"Sim"))&gt;0,COUNTIFS($G$3:$G$502,G257,$B$3:$B$502,B257,$E$3:$E$502,"&lt;"&amp;F257,$F$3:$F$502,"&gt;"&amp;E257,$A$3:$A$502,"&lt;&gt;"&amp;A257)=0),"Sim","Não"))</f>
        <v/>
      </c>
      <c r="L257" s="11" t="str">
        <f>IF(OR(G257="",D257=""),"",IF(COUNTIFS('RESTRIÇÕES'!A:A,G257,'RESTRIÇÕES'!C:C,D257,'RESTRIÇÕES'!F:F,"Sim")&gt;0,"Com restrição","Sem restrição"))</f>
        <v/>
      </c>
      <c r="M257" s="11" t="str">
        <f t="shared" si="2"/>
        <v/>
      </c>
    </row>
    <row r="258" ht="15.75" customHeight="1">
      <c r="A258" s="13" t="str">
        <f t="shared" si="3"/>
        <v/>
      </c>
      <c r="B258" s="27"/>
      <c r="C258" s="13" t="str">
        <f t="shared" si="4"/>
        <v/>
      </c>
      <c r="D258" s="12"/>
      <c r="E258" s="21"/>
      <c r="F258" s="21"/>
      <c r="G258" s="12"/>
      <c r="H258" s="13" t="str">
        <f>IF(G258="","",IFERROR(VLOOKUP(G258,PROFESSORES!A:B,2,FALSE),""))</f>
        <v/>
      </c>
      <c r="I258" s="12"/>
      <c r="J258" s="12"/>
      <c r="K258" s="13" t="str">
        <f>IF(OR(G258="",C258="",E258="",F258="",I258=""),"",IF(AND((COUNTIFS(DISPONIBILIDADE!A:A,G258,DISPONIBILIDADE!C:C,C258,DISPONIBILIDADE!D:D,"&lt;="&amp;E258,DISPONIBILIDADE!E:E,"&gt;="&amp;F258,DISPONIBILIDADE!F:F,I258,DISPONIBILIDADE!G:G,"Sim")+COUNTIFS(DISPONIBILIDADE!A:A,G258,DISPONIBILIDADE!C:C,C258,DISPONIBILIDADE!D:D,"&lt;="&amp;E258,DISPONIBILIDADE!E:E,"&gt;="&amp;F258,DISPONIBILIDADE!F:F,"Ambas",DISPONIBILIDADE!G:G,"Sim"))&gt;0,COUNTIFS($G$3:$G$502,G258,$B$3:$B$502,B258,$E$3:$E$502,"&lt;"&amp;F258,$F$3:$F$502,"&gt;"&amp;E258,$A$3:$A$502,"&lt;&gt;"&amp;A258)=0),"Sim","Não"))</f>
        <v/>
      </c>
      <c r="L258" s="13" t="str">
        <f>IF(OR(G258="",D258=""),"",IF(COUNTIFS('RESTRIÇÕES'!A:A,G258,'RESTRIÇÕES'!C:C,D258,'RESTRIÇÕES'!F:F,"Sim")&gt;0,"Com restrição","Sem restrição"))</f>
        <v/>
      </c>
      <c r="M258" s="13" t="str">
        <f t="shared" si="2"/>
        <v/>
      </c>
    </row>
    <row r="259" ht="15.75" customHeight="1">
      <c r="A259" s="11" t="str">
        <f t="shared" si="3"/>
        <v/>
      </c>
      <c r="B259" s="28"/>
      <c r="C259" s="11" t="str">
        <f t="shared" si="4"/>
        <v/>
      </c>
      <c r="D259" s="10"/>
      <c r="E259" s="19"/>
      <c r="F259" s="19"/>
      <c r="G259" s="10"/>
      <c r="H259" s="11" t="str">
        <f>IF(G259="","",IFERROR(VLOOKUP(G259,PROFESSORES!A:B,2,FALSE),""))</f>
        <v/>
      </c>
      <c r="I259" s="10"/>
      <c r="J259" s="10"/>
      <c r="K259" s="11" t="str">
        <f>IF(OR(G259="",C259="",E259="",F259="",I259=""),"",IF(AND((COUNTIFS(DISPONIBILIDADE!A:A,G259,DISPONIBILIDADE!C:C,C259,DISPONIBILIDADE!D:D,"&lt;="&amp;E259,DISPONIBILIDADE!E:E,"&gt;="&amp;F259,DISPONIBILIDADE!F:F,I259,DISPONIBILIDADE!G:G,"Sim")+COUNTIFS(DISPONIBILIDADE!A:A,G259,DISPONIBILIDADE!C:C,C259,DISPONIBILIDADE!D:D,"&lt;="&amp;E259,DISPONIBILIDADE!E:E,"&gt;="&amp;F259,DISPONIBILIDADE!F:F,"Ambas",DISPONIBILIDADE!G:G,"Sim"))&gt;0,COUNTIFS($G$3:$G$502,G259,$B$3:$B$502,B259,$E$3:$E$502,"&lt;"&amp;F259,$F$3:$F$502,"&gt;"&amp;E259,$A$3:$A$502,"&lt;&gt;"&amp;A259)=0),"Sim","Não"))</f>
        <v/>
      </c>
      <c r="L259" s="11" t="str">
        <f>IF(OR(G259="",D259=""),"",IF(COUNTIFS('RESTRIÇÕES'!A:A,G259,'RESTRIÇÕES'!C:C,D259,'RESTRIÇÕES'!F:F,"Sim")&gt;0,"Com restrição","Sem restrição"))</f>
        <v/>
      </c>
      <c r="M259" s="11" t="str">
        <f t="shared" si="2"/>
        <v/>
      </c>
    </row>
    <row r="260" ht="15.75" customHeight="1">
      <c r="A260" s="13" t="str">
        <f t="shared" si="3"/>
        <v/>
      </c>
      <c r="B260" s="27"/>
      <c r="C260" s="13" t="str">
        <f t="shared" si="4"/>
        <v/>
      </c>
      <c r="D260" s="12"/>
      <c r="E260" s="21"/>
      <c r="F260" s="21"/>
      <c r="G260" s="12"/>
      <c r="H260" s="13" t="str">
        <f>IF(G260="","",IFERROR(VLOOKUP(G260,PROFESSORES!A:B,2,FALSE),""))</f>
        <v/>
      </c>
      <c r="I260" s="12"/>
      <c r="J260" s="12"/>
      <c r="K260" s="13" t="str">
        <f>IF(OR(G260="",C260="",E260="",F260="",I260=""),"",IF(AND((COUNTIFS(DISPONIBILIDADE!A:A,G260,DISPONIBILIDADE!C:C,C260,DISPONIBILIDADE!D:D,"&lt;="&amp;E260,DISPONIBILIDADE!E:E,"&gt;="&amp;F260,DISPONIBILIDADE!F:F,I260,DISPONIBILIDADE!G:G,"Sim")+COUNTIFS(DISPONIBILIDADE!A:A,G260,DISPONIBILIDADE!C:C,C260,DISPONIBILIDADE!D:D,"&lt;="&amp;E260,DISPONIBILIDADE!E:E,"&gt;="&amp;F260,DISPONIBILIDADE!F:F,"Ambas",DISPONIBILIDADE!G:G,"Sim"))&gt;0,COUNTIFS($G$3:$G$502,G260,$B$3:$B$502,B260,$E$3:$E$502,"&lt;"&amp;F260,$F$3:$F$502,"&gt;"&amp;E260,$A$3:$A$502,"&lt;&gt;"&amp;A260)=0),"Sim","Não"))</f>
        <v/>
      </c>
      <c r="L260" s="13" t="str">
        <f>IF(OR(G260="",D260=""),"",IF(COUNTIFS('RESTRIÇÕES'!A:A,G260,'RESTRIÇÕES'!C:C,D260,'RESTRIÇÕES'!F:F,"Sim")&gt;0,"Com restrição","Sem restrição"))</f>
        <v/>
      </c>
      <c r="M260" s="13" t="str">
        <f t="shared" si="2"/>
        <v/>
      </c>
    </row>
    <row r="261" ht="15.75" customHeight="1">
      <c r="A261" s="11" t="str">
        <f t="shared" si="3"/>
        <v/>
      </c>
      <c r="B261" s="28"/>
      <c r="C261" s="11" t="str">
        <f t="shared" si="4"/>
        <v/>
      </c>
      <c r="D261" s="10"/>
      <c r="E261" s="19"/>
      <c r="F261" s="19"/>
      <c r="G261" s="10"/>
      <c r="H261" s="11" t="str">
        <f>IF(G261="","",IFERROR(VLOOKUP(G261,PROFESSORES!A:B,2,FALSE),""))</f>
        <v/>
      </c>
      <c r="I261" s="10"/>
      <c r="J261" s="10"/>
      <c r="K261" s="11" t="str">
        <f>IF(OR(G261="",C261="",E261="",F261="",I261=""),"",IF(AND((COUNTIFS(DISPONIBILIDADE!A:A,G261,DISPONIBILIDADE!C:C,C261,DISPONIBILIDADE!D:D,"&lt;="&amp;E261,DISPONIBILIDADE!E:E,"&gt;="&amp;F261,DISPONIBILIDADE!F:F,I261,DISPONIBILIDADE!G:G,"Sim")+COUNTIFS(DISPONIBILIDADE!A:A,G261,DISPONIBILIDADE!C:C,C261,DISPONIBILIDADE!D:D,"&lt;="&amp;E261,DISPONIBILIDADE!E:E,"&gt;="&amp;F261,DISPONIBILIDADE!F:F,"Ambas",DISPONIBILIDADE!G:G,"Sim"))&gt;0,COUNTIFS($G$3:$G$502,G261,$B$3:$B$502,B261,$E$3:$E$502,"&lt;"&amp;F261,$F$3:$F$502,"&gt;"&amp;E261,$A$3:$A$502,"&lt;&gt;"&amp;A261)=0),"Sim","Não"))</f>
        <v/>
      </c>
      <c r="L261" s="11" t="str">
        <f>IF(OR(G261="",D261=""),"",IF(COUNTIFS('RESTRIÇÕES'!A:A,G261,'RESTRIÇÕES'!C:C,D261,'RESTRIÇÕES'!F:F,"Sim")&gt;0,"Com restrição","Sem restrição"))</f>
        <v/>
      </c>
      <c r="M261" s="11" t="str">
        <f t="shared" si="2"/>
        <v/>
      </c>
    </row>
    <row r="262" ht="15.75" customHeight="1">
      <c r="A262" s="13" t="str">
        <f t="shared" si="3"/>
        <v/>
      </c>
      <c r="B262" s="27"/>
      <c r="C262" s="13" t="str">
        <f t="shared" si="4"/>
        <v/>
      </c>
      <c r="D262" s="12"/>
      <c r="E262" s="21"/>
      <c r="F262" s="21"/>
      <c r="G262" s="12"/>
      <c r="H262" s="13" t="str">
        <f>IF(G262="","",IFERROR(VLOOKUP(G262,PROFESSORES!A:B,2,FALSE),""))</f>
        <v/>
      </c>
      <c r="I262" s="12"/>
      <c r="J262" s="12"/>
      <c r="K262" s="13" t="str">
        <f>IF(OR(G262="",C262="",E262="",F262="",I262=""),"",IF(AND((COUNTIFS(DISPONIBILIDADE!A:A,G262,DISPONIBILIDADE!C:C,C262,DISPONIBILIDADE!D:D,"&lt;="&amp;E262,DISPONIBILIDADE!E:E,"&gt;="&amp;F262,DISPONIBILIDADE!F:F,I262,DISPONIBILIDADE!G:G,"Sim")+COUNTIFS(DISPONIBILIDADE!A:A,G262,DISPONIBILIDADE!C:C,C262,DISPONIBILIDADE!D:D,"&lt;="&amp;E262,DISPONIBILIDADE!E:E,"&gt;="&amp;F262,DISPONIBILIDADE!F:F,"Ambas",DISPONIBILIDADE!G:G,"Sim"))&gt;0,COUNTIFS($G$3:$G$502,G262,$B$3:$B$502,B262,$E$3:$E$502,"&lt;"&amp;F262,$F$3:$F$502,"&gt;"&amp;E262,$A$3:$A$502,"&lt;&gt;"&amp;A262)=0),"Sim","Não"))</f>
        <v/>
      </c>
      <c r="L262" s="13" t="str">
        <f>IF(OR(G262="",D262=""),"",IF(COUNTIFS('RESTRIÇÕES'!A:A,G262,'RESTRIÇÕES'!C:C,D262,'RESTRIÇÕES'!F:F,"Sim")&gt;0,"Com restrição","Sem restrição"))</f>
        <v/>
      </c>
      <c r="M262" s="13" t="str">
        <f t="shared" si="2"/>
        <v/>
      </c>
    </row>
    <row r="263" ht="15.75" customHeight="1">
      <c r="A263" s="11" t="str">
        <f t="shared" si="3"/>
        <v/>
      </c>
      <c r="B263" s="28"/>
      <c r="C263" s="11" t="str">
        <f t="shared" si="4"/>
        <v/>
      </c>
      <c r="D263" s="10"/>
      <c r="E263" s="19"/>
      <c r="F263" s="19"/>
      <c r="G263" s="10"/>
      <c r="H263" s="11" t="str">
        <f>IF(G263="","",IFERROR(VLOOKUP(G263,PROFESSORES!A:B,2,FALSE),""))</f>
        <v/>
      </c>
      <c r="I263" s="10"/>
      <c r="J263" s="10"/>
      <c r="K263" s="11" t="str">
        <f>IF(OR(G263="",C263="",E263="",F263="",I263=""),"",IF(AND((COUNTIFS(DISPONIBILIDADE!A:A,G263,DISPONIBILIDADE!C:C,C263,DISPONIBILIDADE!D:D,"&lt;="&amp;E263,DISPONIBILIDADE!E:E,"&gt;="&amp;F263,DISPONIBILIDADE!F:F,I263,DISPONIBILIDADE!G:G,"Sim")+COUNTIFS(DISPONIBILIDADE!A:A,G263,DISPONIBILIDADE!C:C,C263,DISPONIBILIDADE!D:D,"&lt;="&amp;E263,DISPONIBILIDADE!E:E,"&gt;="&amp;F263,DISPONIBILIDADE!F:F,"Ambas",DISPONIBILIDADE!G:G,"Sim"))&gt;0,COUNTIFS($G$3:$G$502,G263,$B$3:$B$502,B263,$E$3:$E$502,"&lt;"&amp;F263,$F$3:$F$502,"&gt;"&amp;E263,$A$3:$A$502,"&lt;&gt;"&amp;A263)=0),"Sim","Não"))</f>
        <v/>
      </c>
      <c r="L263" s="11" t="str">
        <f>IF(OR(G263="",D263=""),"",IF(COUNTIFS('RESTRIÇÕES'!A:A,G263,'RESTRIÇÕES'!C:C,D263,'RESTRIÇÕES'!F:F,"Sim")&gt;0,"Com restrição","Sem restrição"))</f>
        <v/>
      </c>
      <c r="M263" s="11" t="str">
        <f t="shared" si="2"/>
        <v/>
      </c>
    </row>
    <row r="264" ht="15.75" customHeight="1">
      <c r="A264" s="13" t="str">
        <f t="shared" si="3"/>
        <v/>
      </c>
      <c r="B264" s="27"/>
      <c r="C264" s="13" t="str">
        <f t="shared" si="4"/>
        <v/>
      </c>
      <c r="D264" s="12"/>
      <c r="E264" s="21"/>
      <c r="F264" s="21"/>
      <c r="G264" s="12"/>
      <c r="H264" s="13" t="str">
        <f>IF(G264="","",IFERROR(VLOOKUP(G264,PROFESSORES!A:B,2,FALSE),""))</f>
        <v/>
      </c>
      <c r="I264" s="12"/>
      <c r="J264" s="12"/>
      <c r="K264" s="13" t="str">
        <f>IF(OR(G264="",C264="",E264="",F264="",I264=""),"",IF(AND((COUNTIFS(DISPONIBILIDADE!A:A,G264,DISPONIBILIDADE!C:C,C264,DISPONIBILIDADE!D:D,"&lt;="&amp;E264,DISPONIBILIDADE!E:E,"&gt;="&amp;F264,DISPONIBILIDADE!F:F,I264,DISPONIBILIDADE!G:G,"Sim")+COUNTIFS(DISPONIBILIDADE!A:A,G264,DISPONIBILIDADE!C:C,C264,DISPONIBILIDADE!D:D,"&lt;="&amp;E264,DISPONIBILIDADE!E:E,"&gt;="&amp;F264,DISPONIBILIDADE!F:F,"Ambas",DISPONIBILIDADE!G:G,"Sim"))&gt;0,COUNTIFS($G$3:$G$502,G264,$B$3:$B$502,B264,$E$3:$E$502,"&lt;"&amp;F264,$F$3:$F$502,"&gt;"&amp;E264,$A$3:$A$502,"&lt;&gt;"&amp;A264)=0),"Sim","Não"))</f>
        <v/>
      </c>
      <c r="L264" s="13" t="str">
        <f>IF(OR(G264="",D264=""),"",IF(COUNTIFS('RESTRIÇÕES'!A:A,G264,'RESTRIÇÕES'!C:C,D264,'RESTRIÇÕES'!F:F,"Sim")&gt;0,"Com restrição","Sem restrição"))</f>
        <v/>
      </c>
      <c r="M264" s="13" t="str">
        <f t="shared" si="2"/>
        <v/>
      </c>
    </row>
    <row r="265" ht="15.75" customHeight="1">
      <c r="A265" s="11" t="str">
        <f t="shared" si="3"/>
        <v/>
      </c>
      <c r="B265" s="28"/>
      <c r="C265" s="11" t="str">
        <f t="shared" si="4"/>
        <v/>
      </c>
      <c r="D265" s="10"/>
      <c r="E265" s="19"/>
      <c r="F265" s="19"/>
      <c r="G265" s="10"/>
      <c r="H265" s="11" t="str">
        <f>IF(G265="","",IFERROR(VLOOKUP(G265,PROFESSORES!A:B,2,FALSE),""))</f>
        <v/>
      </c>
      <c r="I265" s="10"/>
      <c r="J265" s="10"/>
      <c r="K265" s="11" t="str">
        <f>IF(OR(G265="",C265="",E265="",F265="",I265=""),"",IF(AND((COUNTIFS(DISPONIBILIDADE!A:A,G265,DISPONIBILIDADE!C:C,C265,DISPONIBILIDADE!D:D,"&lt;="&amp;E265,DISPONIBILIDADE!E:E,"&gt;="&amp;F265,DISPONIBILIDADE!F:F,I265,DISPONIBILIDADE!G:G,"Sim")+COUNTIFS(DISPONIBILIDADE!A:A,G265,DISPONIBILIDADE!C:C,C265,DISPONIBILIDADE!D:D,"&lt;="&amp;E265,DISPONIBILIDADE!E:E,"&gt;="&amp;F265,DISPONIBILIDADE!F:F,"Ambas",DISPONIBILIDADE!G:G,"Sim"))&gt;0,COUNTIFS($G$3:$G$502,G265,$B$3:$B$502,B265,$E$3:$E$502,"&lt;"&amp;F265,$F$3:$F$502,"&gt;"&amp;E265,$A$3:$A$502,"&lt;&gt;"&amp;A265)=0),"Sim","Não"))</f>
        <v/>
      </c>
      <c r="L265" s="11" t="str">
        <f>IF(OR(G265="",D265=""),"",IF(COUNTIFS('RESTRIÇÕES'!A:A,G265,'RESTRIÇÕES'!C:C,D265,'RESTRIÇÕES'!F:F,"Sim")&gt;0,"Com restrição","Sem restrição"))</f>
        <v/>
      </c>
      <c r="M265" s="11" t="str">
        <f t="shared" si="2"/>
        <v/>
      </c>
    </row>
    <row r="266" ht="15.75" customHeight="1">
      <c r="A266" s="13" t="str">
        <f t="shared" si="3"/>
        <v/>
      </c>
      <c r="B266" s="27"/>
      <c r="C266" s="13" t="str">
        <f t="shared" si="4"/>
        <v/>
      </c>
      <c r="D266" s="12"/>
      <c r="E266" s="21"/>
      <c r="F266" s="21"/>
      <c r="G266" s="12"/>
      <c r="H266" s="13" t="str">
        <f>IF(G266="","",IFERROR(VLOOKUP(G266,PROFESSORES!A:B,2,FALSE),""))</f>
        <v/>
      </c>
      <c r="I266" s="12"/>
      <c r="J266" s="12"/>
      <c r="K266" s="13" t="str">
        <f>IF(OR(G266="",C266="",E266="",F266="",I266=""),"",IF(AND((COUNTIFS(DISPONIBILIDADE!A:A,G266,DISPONIBILIDADE!C:C,C266,DISPONIBILIDADE!D:D,"&lt;="&amp;E266,DISPONIBILIDADE!E:E,"&gt;="&amp;F266,DISPONIBILIDADE!F:F,I266,DISPONIBILIDADE!G:G,"Sim")+COUNTIFS(DISPONIBILIDADE!A:A,G266,DISPONIBILIDADE!C:C,C266,DISPONIBILIDADE!D:D,"&lt;="&amp;E266,DISPONIBILIDADE!E:E,"&gt;="&amp;F266,DISPONIBILIDADE!F:F,"Ambas",DISPONIBILIDADE!G:G,"Sim"))&gt;0,COUNTIFS($G$3:$G$502,G266,$B$3:$B$502,B266,$E$3:$E$502,"&lt;"&amp;F266,$F$3:$F$502,"&gt;"&amp;E266,$A$3:$A$502,"&lt;&gt;"&amp;A266)=0),"Sim","Não"))</f>
        <v/>
      </c>
      <c r="L266" s="13" t="str">
        <f>IF(OR(G266="",D266=""),"",IF(COUNTIFS('RESTRIÇÕES'!A:A,G266,'RESTRIÇÕES'!C:C,D266,'RESTRIÇÕES'!F:F,"Sim")&gt;0,"Com restrição","Sem restrição"))</f>
        <v/>
      </c>
      <c r="M266" s="13" t="str">
        <f t="shared" si="2"/>
        <v/>
      </c>
    </row>
    <row r="267" ht="15.75" customHeight="1">
      <c r="A267" s="11" t="str">
        <f t="shared" si="3"/>
        <v/>
      </c>
      <c r="B267" s="28"/>
      <c r="C267" s="11" t="str">
        <f t="shared" si="4"/>
        <v/>
      </c>
      <c r="D267" s="10"/>
      <c r="E267" s="19"/>
      <c r="F267" s="19"/>
      <c r="G267" s="10"/>
      <c r="H267" s="11" t="str">
        <f>IF(G267="","",IFERROR(VLOOKUP(G267,PROFESSORES!A:B,2,FALSE),""))</f>
        <v/>
      </c>
      <c r="I267" s="10"/>
      <c r="J267" s="10"/>
      <c r="K267" s="11" t="str">
        <f>IF(OR(G267="",C267="",E267="",F267="",I267=""),"",IF(AND((COUNTIFS(DISPONIBILIDADE!A:A,G267,DISPONIBILIDADE!C:C,C267,DISPONIBILIDADE!D:D,"&lt;="&amp;E267,DISPONIBILIDADE!E:E,"&gt;="&amp;F267,DISPONIBILIDADE!F:F,I267,DISPONIBILIDADE!G:G,"Sim")+COUNTIFS(DISPONIBILIDADE!A:A,G267,DISPONIBILIDADE!C:C,C267,DISPONIBILIDADE!D:D,"&lt;="&amp;E267,DISPONIBILIDADE!E:E,"&gt;="&amp;F267,DISPONIBILIDADE!F:F,"Ambas",DISPONIBILIDADE!G:G,"Sim"))&gt;0,COUNTIFS($G$3:$G$502,G267,$B$3:$B$502,B267,$E$3:$E$502,"&lt;"&amp;F267,$F$3:$F$502,"&gt;"&amp;E267,$A$3:$A$502,"&lt;&gt;"&amp;A267)=0),"Sim","Não"))</f>
        <v/>
      </c>
      <c r="L267" s="11" t="str">
        <f>IF(OR(G267="",D267=""),"",IF(COUNTIFS('RESTRIÇÕES'!A:A,G267,'RESTRIÇÕES'!C:C,D267,'RESTRIÇÕES'!F:F,"Sim")&gt;0,"Com restrição","Sem restrição"))</f>
        <v/>
      </c>
      <c r="M267" s="11" t="str">
        <f t="shared" si="2"/>
        <v/>
      </c>
    </row>
    <row r="268" ht="15.75" customHeight="1">
      <c r="A268" s="13" t="str">
        <f t="shared" si="3"/>
        <v/>
      </c>
      <c r="B268" s="27"/>
      <c r="C268" s="13" t="str">
        <f t="shared" si="4"/>
        <v/>
      </c>
      <c r="D268" s="12"/>
      <c r="E268" s="21"/>
      <c r="F268" s="21"/>
      <c r="G268" s="12"/>
      <c r="H268" s="13" t="str">
        <f>IF(G268="","",IFERROR(VLOOKUP(G268,PROFESSORES!A:B,2,FALSE),""))</f>
        <v/>
      </c>
      <c r="I268" s="12"/>
      <c r="J268" s="12"/>
      <c r="K268" s="13" t="str">
        <f>IF(OR(G268="",C268="",E268="",F268="",I268=""),"",IF(AND((COUNTIFS(DISPONIBILIDADE!A:A,G268,DISPONIBILIDADE!C:C,C268,DISPONIBILIDADE!D:D,"&lt;="&amp;E268,DISPONIBILIDADE!E:E,"&gt;="&amp;F268,DISPONIBILIDADE!F:F,I268,DISPONIBILIDADE!G:G,"Sim")+COUNTIFS(DISPONIBILIDADE!A:A,G268,DISPONIBILIDADE!C:C,C268,DISPONIBILIDADE!D:D,"&lt;="&amp;E268,DISPONIBILIDADE!E:E,"&gt;="&amp;F268,DISPONIBILIDADE!F:F,"Ambas",DISPONIBILIDADE!G:G,"Sim"))&gt;0,COUNTIFS($G$3:$G$502,G268,$B$3:$B$502,B268,$E$3:$E$502,"&lt;"&amp;F268,$F$3:$F$502,"&gt;"&amp;E268,$A$3:$A$502,"&lt;&gt;"&amp;A268)=0),"Sim","Não"))</f>
        <v/>
      </c>
      <c r="L268" s="13" t="str">
        <f>IF(OR(G268="",D268=""),"",IF(COUNTIFS('RESTRIÇÕES'!A:A,G268,'RESTRIÇÕES'!C:C,D268,'RESTRIÇÕES'!F:F,"Sim")&gt;0,"Com restrição","Sem restrição"))</f>
        <v/>
      </c>
      <c r="M268" s="13" t="str">
        <f t="shared" si="2"/>
        <v/>
      </c>
    </row>
    <row r="269" ht="15.75" customHeight="1">
      <c r="A269" s="11" t="str">
        <f t="shared" si="3"/>
        <v/>
      </c>
      <c r="B269" s="28"/>
      <c r="C269" s="11" t="str">
        <f t="shared" si="4"/>
        <v/>
      </c>
      <c r="D269" s="10"/>
      <c r="E269" s="19"/>
      <c r="F269" s="19"/>
      <c r="G269" s="10"/>
      <c r="H269" s="11" t="str">
        <f>IF(G269="","",IFERROR(VLOOKUP(G269,PROFESSORES!A:B,2,FALSE),""))</f>
        <v/>
      </c>
      <c r="I269" s="10"/>
      <c r="J269" s="10"/>
      <c r="K269" s="11" t="str">
        <f>IF(OR(G269="",C269="",E269="",F269="",I269=""),"",IF(AND((COUNTIFS(DISPONIBILIDADE!A:A,G269,DISPONIBILIDADE!C:C,C269,DISPONIBILIDADE!D:D,"&lt;="&amp;E269,DISPONIBILIDADE!E:E,"&gt;="&amp;F269,DISPONIBILIDADE!F:F,I269,DISPONIBILIDADE!G:G,"Sim")+COUNTIFS(DISPONIBILIDADE!A:A,G269,DISPONIBILIDADE!C:C,C269,DISPONIBILIDADE!D:D,"&lt;="&amp;E269,DISPONIBILIDADE!E:E,"&gt;="&amp;F269,DISPONIBILIDADE!F:F,"Ambas",DISPONIBILIDADE!G:G,"Sim"))&gt;0,COUNTIFS($G$3:$G$502,G269,$B$3:$B$502,B269,$E$3:$E$502,"&lt;"&amp;F269,$F$3:$F$502,"&gt;"&amp;E269,$A$3:$A$502,"&lt;&gt;"&amp;A269)=0),"Sim","Não"))</f>
        <v/>
      </c>
      <c r="L269" s="11" t="str">
        <f>IF(OR(G269="",D269=""),"",IF(COUNTIFS('RESTRIÇÕES'!A:A,G269,'RESTRIÇÕES'!C:C,D269,'RESTRIÇÕES'!F:F,"Sim")&gt;0,"Com restrição","Sem restrição"))</f>
        <v/>
      </c>
      <c r="M269" s="11" t="str">
        <f t="shared" si="2"/>
        <v/>
      </c>
    </row>
    <row r="270" ht="15.75" customHeight="1">
      <c r="A270" s="13" t="str">
        <f t="shared" si="3"/>
        <v/>
      </c>
      <c r="B270" s="27"/>
      <c r="C270" s="13" t="str">
        <f t="shared" si="4"/>
        <v/>
      </c>
      <c r="D270" s="12"/>
      <c r="E270" s="21"/>
      <c r="F270" s="21"/>
      <c r="G270" s="12"/>
      <c r="H270" s="13" t="str">
        <f>IF(G270="","",IFERROR(VLOOKUP(G270,PROFESSORES!A:B,2,FALSE),""))</f>
        <v/>
      </c>
      <c r="I270" s="12"/>
      <c r="J270" s="12"/>
      <c r="K270" s="13" t="str">
        <f>IF(OR(G270="",C270="",E270="",F270="",I270=""),"",IF(AND((COUNTIFS(DISPONIBILIDADE!A:A,G270,DISPONIBILIDADE!C:C,C270,DISPONIBILIDADE!D:D,"&lt;="&amp;E270,DISPONIBILIDADE!E:E,"&gt;="&amp;F270,DISPONIBILIDADE!F:F,I270,DISPONIBILIDADE!G:G,"Sim")+COUNTIFS(DISPONIBILIDADE!A:A,G270,DISPONIBILIDADE!C:C,C270,DISPONIBILIDADE!D:D,"&lt;="&amp;E270,DISPONIBILIDADE!E:E,"&gt;="&amp;F270,DISPONIBILIDADE!F:F,"Ambas",DISPONIBILIDADE!G:G,"Sim"))&gt;0,COUNTIFS($G$3:$G$502,G270,$B$3:$B$502,B270,$E$3:$E$502,"&lt;"&amp;F270,$F$3:$F$502,"&gt;"&amp;E270,$A$3:$A$502,"&lt;&gt;"&amp;A270)=0),"Sim","Não"))</f>
        <v/>
      </c>
      <c r="L270" s="13" t="str">
        <f>IF(OR(G270="",D270=""),"",IF(COUNTIFS('RESTRIÇÕES'!A:A,G270,'RESTRIÇÕES'!C:C,D270,'RESTRIÇÕES'!F:F,"Sim")&gt;0,"Com restrição","Sem restrição"))</f>
        <v/>
      </c>
      <c r="M270" s="13" t="str">
        <f t="shared" si="2"/>
        <v/>
      </c>
    </row>
    <row r="271" ht="15.75" customHeight="1">
      <c r="A271" s="11" t="str">
        <f t="shared" si="3"/>
        <v/>
      </c>
      <c r="B271" s="28"/>
      <c r="C271" s="11" t="str">
        <f t="shared" si="4"/>
        <v/>
      </c>
      <c r="D271" s="10"/>
      <c r="E271" s="19"/>
      <c r="F271" s="19"/>
      <c r="G271" s="10"/>
      <c r="H271" s="11" t="str">
        <f>IF(G271="","",IFERROR(VLOOKUP(G271,PROFESSORES!A:B,2,FALSE),""))</f>
        <v/>
      </c>
      <c r="I271" s="10"/>
      <c r="J271" s="10"/>
      <c r="K271" s="11" t="str">
        <f>IF(OR(G271="",C271="",E271="",F271="",I271=""),"",IF(AND((COUNTIFS(DISPONIBILIDADE!A:A,G271,DISPONIBILIDADE!C:C,C271,DISPONIBILIDADE!D:D,"&lt;="&amp;E271,DISPONIBILIDADE!E:E,"&gt;="&amp;F271,DISPONIBILIDADE!F:F,I271,DISPONIBILIDADE!G:G,"Sim")+COUNTIFS(DISPONIBILIDADE!A:A,G271,DISPONIBILIDADE!C:C,C271,DISPONIBILIDADE!D:D,"&lt;="&amp;E271,DISPONIBILIDADE!E:E,"&gt;="&amp;F271,DISPONIBILIDADE!F:F,"Ambas",DISPONIBILIDADE!G:G,"Sim"))&gt;0,COUNTIFS($G$3:$G$502,G271,$B$3:$B$502,B271,$E$3:$E$502,"&lt;"&amp;F271,$F$3:$F$502,"&gt;"&amp;E271,$A$3:$A$502,"&lt;&gt;"&amp;A271)=0),"Sim","Não"))</f>
        <v/>
      </c>
      <c r="L271" s="11" t="str">
        <f>IF(OR(G271="",D271=""),"",IF(COUNTIFS('RESTRIÇÕES'!A:A,G271,'RESTRIÇÕES'!C:C,D271,'RESTRIÇÕES'!F:F,"Sim")&gt;0,"Com restrição","Sem restrição"))</f>
        <v/>
      </c>
      <c r="M271" s="11" t="str">
        <f t="shared" si="2"/>
        <v/>
      </c>
    </row>
    <row r="272" ht="15.75" customHeight="1">
      <c r="A272" s="13" t="str">
        <f t="shared" si="3"/>
        <v/>
      </c>
      <c r="B272" s="27"/>
      <c r="C272" s="13" t="str">
        <f t="shared" si="4"/>
        <v/>
      </c>
      <c r="D272" s="12"/>
      <c r="E272" s="21"/>
      <c r="F272" s="21"/>
      <c r="G272" s="12"/>
      <c r="H272" s="13" t="str">
        <f>IF(G272="","",IFERROR(VLOOKUP(G272,PROFESSORES!A:B,2,FALSE),""))</f>
        <v/>
      </c>
      <c r="I272" s="12"/>
      <c r="J272" s="12"/>
      <c r="K272" s="13" t="str">
        <f>IF(OR(G272="",C272="",E272="",F272="",I272=""),"",IF(AND((COUNTIFS(DISPONIBILIDADE!A:A,G272,DISPONIBILIDADE!C:C,C272,DISPONIBILIDADE!D:D,"&lt;="&amp;E272,DISPONIBILIDADE!E:E,"&gt;="&amp;F272,DISPONIBILIDADE!F:F,I272,DISPONIBILIDADE!G:G,"Sim")+COUNTIFS(DISPONIBILIDADE!A:A,G272,DISPONIBILIDADE!C:C,C272,DISPONIBILIDADE!D:D,"&lt;="&amp;E272,DISPONIBILIDADE!E:E,"&gt;="&amp;F272,DISPONIBILIDADE!F:F,"Ambas",DISPONIBILIDADE!G:G,"Sim"))&gt;0,COUNTIFS($G$3:$G$502,G272,$B$3:$B$502,B272,$E$3:$E$502,"&lt;"&amp;F272,$F$3:$F$502,"&gt;"&amp;E272,$A$3:$A$502,"&lt;&gt;"&amp;A272)=0),"Sim","Não"))</f>
        <v/>
      </c>
      <c r="L272" s="13" t="str">
        <f>IF(OR(G272="",D272=""),"",IF(COUNTIFS('RESTRIÇÕES'!A:A,G272,'RESTRIÇÕES'!C:C,D272,'RESTRIÇÕES'!F:F,"Sim")&gt;0,"Com restrição","Sem restrição"))</f>
        <v/>
      </c>
      <c r="M272" s="13" t="str">
        <f t="shared" si="2"/>
        <v/>
      </c>
    </row>
    <row r="273" ht="15.75" customHeight="1">
      <c r="A273" s="11" t="str">
        <f t="shared" si="3"/>
        <v/>
      </c>
      <c r="B273" s="28"/>
      <c r="C273" s="11" t="str">
        <f t="shared" si="4"/>
        <v/>
      </c>
      <c r="D273" s="10"/>
      <c r="E273" s="19"/>
      <c r="F273" s="19"/>
      <c r="G273" s="10"/>
      <c r="H273" s="11" t="str">
        <f>IF(G273="","",IFERROR(VLOOKUP(G273,PROFESSORES!A:B,2,FALSE),""))</f>
        <v/>
      </c>
      <c r="I273" s="10"/>
      <c r="J273" s="10"/>
      <c r="K273" s="11" t="str">
        <f>IF(OR(G273="",C273="",E273="",F273="",I273=""),"",IF(AND((COUNTIFS(DISPONIBILIDADE!A:A,G273,DISPONIBILIDADE!C:C,C273,DISPONIBILIDADE!D:D,"&lt;="&amp;E273,DISPONIBILIDADE!E:E,"&gt;="&amp;F273,DISPONIBILIDADE!F:F,I273,DISPONIBILIDADE!G:G,"Sim")+COUNTIFS(DISPONIBILIDADE!A:A,G273,DISPONIBILIDADE!C:C,C273,DISPONIBILIDADE!D:D,"&lt;="&amp;E273,DISPONIBILIDADE!E:E,"&gt;="&amp;F273,DISPONIBILIDADE!F:F,"Ambas",DISPONIBILIDADE!G:G,"Sim"))&gt;0,COUNTIFS($G$3:$G$502,G273,$B$3:$B$502,B273,$E$3:$E$502,"&lt;"&amp;F273,$F$3:$F$502,"&gt;"&amp;E273,$A$3:$A$502,"&lt;&gt;"&amp;A273)=0),"Sim","Não"))</f>
        <v/>
      </c>
      <c r="L273" s="11" t="str">
        <f>IF(OR(G273="",D273=""),"",IF(COUNTIFS('RESTRIÇÕES'!A:A,G273,'RESTRIÇÕES'!C:C,D273,'RESTRIÇÕES'!F:F,"Sim")&gt;0,"Com restrição","Sem restrição"))</f>
        <v/>
      </c>
      <c r="M273" s="11" t="str">
        <f t="shared" si="2"/>
        <v/>
      </c>
    </row>
    <row r="274" ht="15.75" customHeight="1">
      <c r="A274" s="13" t="str">
        <f t="shared" si="3"/>
        <v/>
      </c>
      <c r="B274" s="27"/>
      <c r="C274" s="13" t="str">
        <f t="shared" si="4"/>
        <v/>
      </c>
      <c r="D274" s="12"/>
      <c r="E274" s="21"/>
      <c r="F274" s="21"/>
      <c r="G274" s="12"/>
      <c r="H274" s="13" t="str">
        <f>IF(G274="","",IFERROR(VLOOKUP(G274,PROFESSORES!A:B,2,FALSE),""))</f>
        <v/>
      </c>
      <c r="I274" s="12"/>
      <c r="J274" s="12"/>
      <c r="K274" s="13" t="str">
        <f>IF(OR(G274="",C274="",E274="",F274="",I274=""),"",IF(AND((COUNTIFS(DISPONIBILIDADE!A:A,G274,DISPONIBILIDADE!C:C,C274,DISPONIBILIDADE!D:D,"&lt;="&amp;E274,DISPONIBILIDADE!E:E,"&gt;="&amp;F274,DISPONIBILIDADE!F:F,I274,DISPONIBILIDADE!G:G,"Sim")+COUNTIFS(DISPONIBILIDADE!A:A,G274,DISPONIBILIDADE!C:C,C274,DISPONIBILIDADE!D:D,"&lt;="&amp;E274,DISPONIBILIDADE!E:E,"&gt;="&amp;F274,DISPONIBILIDADE!F:F,"Ambas",DISPONIBILIDADE!G:G,"Sim"))&gt;0,COUNTIFS($G$3:$G$502,G274,$B$3:$B$502,B274,$E$3:$E$502,"&lt;"&amp;F274,$F$3:$F$502,"&gt;"&amp;E274,$A$3:$A$502,"&lt;&gt;"&amp;A274)=0),"Sim","Não"))</f>
        <v/>
      </c>
      <c r="L274" s="13" t="str">
        <f>IF(OR(G274="",D274=""),"",IF(COUNTIFS('RESTRIÇÕES'!A:A,G274,'RESTRIÇÕES'!C:C,D274,'RESTRIÇÕES'!F:F,"Sim")&gt;0,"Com restrição","Sem restrição"))</f>
        <v/>
      </c>
      <c r="M274" s="13" t="str">
        <f t="shared" si="2"/>
        <v/>
      </c>
    </row>
    <row r="275" ht="15.75" customHeight="1">
      <c r="A275" s="11" t="str">
        <f t="shared" si="3"/>
        <v/>
      </c>
      <c r="B275" s="28"/>
      <c r="C275" s="11" t="str">
        <f t="shared" si="4"/>
        <v/>
      </c>
      <c r="D275" s="10"/>
      <c r="E275" s="19"/>
      <c r="F275" s="19"/>
      <c r="G275" s="10"/>
      <c r="H275" s="11" t="str">
        <f>IF(G275="","",IFERROR(VLOOKUP(G275,PROFESSORES!A:B,2,FALSE),""))</f>
        <v/>
      </c>
      <c r="I275" s="10"/>
      <c r="J275" s="10"/>
      <c r="K275" s="11" t="str">
        <f>IF(OR(G275="",C275="",E275="",F275="",I275=""),"",IF(AND((COUNTIFS(DISPONIBILIDADE!A:A,G275,DISPONIBILIDADE!C:C,C275,DISPONIBILIDADE!D:D,"&lt;="&amp;E275,DISPONIBILIDADE!E:E,"&gt;="&amp;F275,DISPONIBILIDADE!F:F,I275,DISPONIBILIDADE!G:G,"Sim")+COUNTIFS(DISPONIBILIDADE!A:A,G275,DISPONIBILIDADE!C:C,C275,DISPONIBILIDADE!D:D,"&lt;="&amp;E275,DISPONIBILIDADE!E:E,"&gt;="&amp;F275,DISPONIBILIDADE!F:F,"Ambas",DISPONIBILIDADE!G:G,"Sim"))&gt;0,COUNTIFS($G$3:$G$502,G275,$B$3:$B$502,B275,$E$3:$E$502,"&lt;"&amp;F275,$F$3:$F$502,"&gt;"&amp;E275,$A$3:$A$502,"&lt;&gt;"&amp;A275)=0),"Sim","Não"))</f>
        <v/>
      </c>
      <c r="L275" s="11" t="str">
        <f>IF(OR(G275="",D275=""),"",IF(COUNTIFS('RESTRIÇÕES'!A:A,G275,'RESTRIÇÕES'!C:C,D275,'RESTRIÇÕES'!F:F,"Sim")&gt;0,"Com restrição","Sem restrição"))</f>
        <v/>
      </c>
      <c r="M275" s="11" t="str">
        <f t="shared" si="2"/>
        <v/>
      </c>
    </row>
    <row r="276" ht="15.75" customHeight="1">
      <c r="A276" s="13" t="str">
        <f t="shared" si="3"/>
        <v/>
      </c>
      <c r="B276" s="27"/>
      <c r="C276" s="13" t="str">
        <f t="shared" si="4"/>
        <v/>
      </c>
      <c r="D276" s="12"/>
      <c r="E276" s="21"/>
      <c r="F276" s="21"/>
      <c r="G276" s="12"/>
      <c r="H276" s="13" t="str">
        <f>IF(G276="","",IFERROR(VLOOKUP(G276,PROFESSORES!A:B,2,FALSE),""))</f>
        <v/>
      </c>
      <c r="I276" s="12"/>
      <c r="J276" s="12"/>
      <c r="K276" s="13" t="str">
        <f>IF(OR(G276="",C276="",E276="",F276="",I276=""),"",IF(AND((COUNTIFS(DISPONIBILIDADE!A:A,G276,DISPONIBILIDADE!C:C,C276,DISPONIBILIDADE!D:D,"&lt;="&amp;E276,DISPONIBILIDADE!E:E,"&gt;="&amp;F276,DISPONIBILIDADE!F:F,I276,DISPONIBILIDADE!G:G,"Sim")+COUNTIFS(DISPONIBILIDADE!A:A,G276,DISPONIBILIDADE!C:C,C276,DISPONIBILIDADE!D:D,"&lt;="&amp;E276,DISPONIBILIDADE!E:E,"&gt;="&amp;F276,DISPONIBILIDADE!F:F,"Ambas",DISPONIBILIDADE!G:G,"Sim"))&gt;0,COUNTIFS($G$3:$G$502,G276,$B$3:$B$502,B276,$E$3:$E$502,"&lt;"&amp;F276,$F$3:$F$502,"&gt;"&amp;E276,$A$3:$A$502,"&lt;&gt;"&amp;A276)=0),"Sim","Não"))</f>
        <v/>
      </c>
      <c r="L276" s="13" t="str">
        <f>IF(OR(G276="",D276=""),"",IF(COUNTIFS('RESTRIÇÕES'!A:A,G276,'RESTRIÇÕES'!C:C,D276,'RESTRIÇÕES'!F:F,"Sim")&gt;0,"Com restrição","Sem restrição"))</f>
        <v/>
      </c>
      <c r="M276" s="13" t="str">
        <f t="shared" si="2"/>
        <v/>
      </c>
    </row>
    <row r="277" ht="15.75" customHeight="1">
      <c r="A277" s="11" t="str">
        <f t="shared" si="3"/>
        <v/>
      </c>
      <c r="B277" s="28"/>
      <c r="C277" s="11" t="str">
        <f t="shared" si="4"/>
        <v/>
      </c>
      <c r="D277" s="10"/>
      <c r="E277" s="19"/>
      <c r="F277" s="19"/>
      <c r="G277" s="10"/>
      <c r="H277" s="11" t="str">
        <f>IF(G277="","",IFERROR(VLOOKUP(G277,PROFESSORES!A:B,2,FALSE),""))</f>
        <v/>
      </c>
      <c r="I277" s="10"/>
      <c r="J277" s="10"/>
      <c r="K277" s="11" t="str">
        <f>IF(OR(G277="",C277="",E277="",F277="",I277=""),"",IF(AND((COUNTIFS(DISPONIBILIDADE!A:A,G277,DISPONIBILIDADE!C:C,C277,DISPONIBILIDADE!D:D,"&lt;="&amp;E277,DISPONIBILIDADE!E:E,"&gt;="&amp;F277,DISPONIBILIDADE!F:F,I277,DISPONIBILIDADE!G:G,"Sim")+COUNTIFS(DISPONIBILIDADE!A:A,G277,DISPONIBILIDADE!C:C,C277,DISPONIBILIDADE!D:D,"&lt;="&amp;E277,DISPONIBILIDADE!E:E,"&gt;="&amp;F277,DISPONIBILIDADE!F:F,"Ambas",DISPONIBILIDADE!G:G,"Sim"))&gt;0,COUNTIFS($G$3:$G$502,G277,$B$3:$B$502,B277,$E$3:$E$502,"&lt;"&amp;F277,$F$3:$F$502,"&gt;"&amp;E277,$A$3:$A$502,"&lt;&gt;"&amp;A277)=0),"Sim","Não"))</f>
        <v/>
      </c>
      <c r="L277" s="11" t="str">
        <f>IF(OR(G277="",D277=""),"",IF(COUNTIFS('RESTRIÇÕES'!A:A,G277,'RESTRIÇÕES'!C:C,D277,'RESTRIÇÕES'!F:F,"Sim")&gt;0,"Com restrição","Sem restrição"))</f>
        <v/>
      </c>
      <c r="M277" s="11" t="str">
        <f t="shared" si="2"/>
        <v/>
      </c>
    </row>
    <row r="278" ht="15.75" customHeight="1">
      <c r="A278" s="13" t="str">
        <f t="shared" si="3"/>
        <v/>
      </c>
      <c r="B278" s="27"/>
      <c r="C278" s="13" t="str">
        <f t="shared" si="4"/>
        <v/>
      </c>
      <c r="D278" s="12"/>
      <c r="E278" s="21"/>
      <c r="F278" s="21"/>
      <c r="G278" s="12"/>
      <c r="H278" s="13" t="str">
        <f>IF(G278="","",IFERROR(VLOOKUP(G278,PROFESSORES!A:B,2,FALSE),""))</f>
        <v/>
      </c>
      <c r="I278" s="12"/>
      <c r="J278" s="12"/>
      <c r="K278" s="13" t="str">
        <f>IF(OR(G278="",C278="",E278="",F278="",I278=""),"",IF(AND((COUNTIFS(DISPONIBILIDADE!A:A,G278,DISPONIBILIDADE!C:C,C278,DISPONIBILIDADE!D:D,"&lt;="&amp;E278,DISPONIBILIDADE!E:E,"&gt;="&amp;F278,DISPONIBILIDADE!F:F,I278,DISPONIBILIDADE!G:G,"Sim")+COUNTIFS(DISPONIBILIDADE!A:A,G278,DISPONIBILIDADE!C:C,C278,DISPONIBILIDADE!D:D,"&lt;="&amp;E278,DISPONIBILIDADE!E:E,"&gt;="&amp;F278,DISPONIBILIDADE!F:F,"Ambas",DISPONIBILIDADE!G:G,"Sim"))&gt;0,COUNTIFS($G$3:$G$502,G278,$B$3:$B$502,B278,$E$3:$E$502,"&lt;"&amp;F278,$F$3:$F$502,"&gt;"&amp;E278,$A$3:$A$502,"&lt;&gt;"&amp;A278)=0),"Sim","Não"))</f>
        <v/>
      </c>
      <c r="L278" s="13" t="str">
        <f>IF(OR(G278="",D278=""),"",IF(COUNTIFS('RESTRIÇÕES'!A:A,G278,'RESTRIÇÕES'!C:C,D278,'RESTRIÇÕES'!F:F,"Sim")&gt;0,"Com restrição","Sem restrição"))</f>
        <v/>
      </c>
      <c r="M278" s="13" t="str">
        <f t="shared" si="2"/>
        <v/>
      </c>
    </row>
    <row r="279" ht="15.75" customHeight="1">
      <c r="A279" s="11" t="str">
        <f t="shared" si="3"/>
        <v/>
      </c>
      <c r="B279" s="28"/>
      <c r="C279" s="11" t="str">
        <f t="shared" si="4"/>
        <v/>
      </c>
      <c r="D279" s="10"/>
      <c r="E279" s="19"/>
      <c r="F279" s="19"/>
      <c r="G279" s="10"/>
      <c r="H279" s="11" t="str">
        <f>IF(G279="","",IFERROR(VLOOKUP(G279,PROFESSORES!A:B,2,FALSE),""))</f>
        <v/>
      </c>
      <c r="I279" s="10"/>
      <c r="J279" s="10"/>
      <c r="K279" s="11" t="str">
        <f>IF(OR(G279="",C279="",E279="",F279="",I279=""),"",IF(AND((COUNTIFS(DISPONIBILIDADE!A:A,G279,DISPONIBILIDADE!C:C,C279,DISPONIBILIDADE!D:D,"&lt;="&amp;E279,DISPONIBILIDADE!E:E,"&gt;="&amp;F279,DISPONIBILIDADE!F:F,I279,DISPONIBILIDADE!G:G,"Sim")+COUNTIFS(DISPONIBILIDADE!A:A,G279,DISPONIBILIDADE!C:C,C279,DISPONIBILIDADE!D:D,"&lt;="&amp;E279,DISPONIBILIDADE!E:E,"&gt;="&amp;F279,DISPONIBILIDADE!F:F,"Ambas",DISPONIBILIDADE!G:G,"Sim"))&gt;0,COUNTIFS($G$3:$G$502,G279,$B$3:$B$502,B279,$E$3:$E$502,"&lt;"&amp;F279,$F$3:$F$502,"&gt;"&amp;E279,$A$3:$A$502,"&lt;&gt;"&amp;A279)=0),"Sim","Não"))</f>
        <v/>
      </c>
      <c r="L279" s="11" t="str">
        <f>IF(OR(G279="",D279=""),"",IF(COUNTIFS('RESTRIÇÕES'!A:A,G279,'RESTRIÇÕES'!C:C,D279,'RESTRIÇÕES'!F:F,"Sim")&gt;0,"Com restrição","Sem restrição"))</f>
        <v/>
      </c>
      <c r="M279" s="11" t="str">
        <f t="shared" si="2"/>
        <v/>
      </c>
    </row>
    <row r="280" ht="15.75" customHeight="1">
      <c r="A280" s="13" t="str">
        <f t="shared" si="3"/>
        <v/>
      </c>
      <c r="B280" s="27"/>
      <c r="C280" s="13" t="str">
        <f t="shared" si="4"/>
        <v/>
      </c>
      <c r="D280" s="12"/>
      <c r="E280" s="21"/>
      <c r="F280" s="21"/>
      <c r="G280" s="12"/>
      <c r="H280" s="13" t="str">
        <f>IF(G280="","",IFERROR(VLOOKUP(G280,PROFESSORES!A:B,2,FALSE),""))</f>
        <v/>
      </c>
      <c r="I280" s="12"/>
      <c r="J280" s="12"/>
      <c r="K280" s="13" t="str">
        <f>IF(OR(G280="",C280="",E280="",F280="",I280=""),"",IF(AND((COUNTIFS(DISPONIBILIDADE!A:A,G280,DISPONIBILIDADE!C:C,C280,DISPONIBILIDADE!D:D,"&lt;="&amp;E280,DISPONIBILIDADE!E:E,"&gt;="&amp;F280,DISPONIBILIDADE!F:F,I280,DISPONIBILIDADE!G:G,"Sim")+COUNTIFS(DISPONIBILIDADE!A:A,G280,DISPONIBILIDADE!C:C,C280,DISPONIBILIDADE!D:D,"&lt;="&amp;E280,DISPONIBILIDADE!E:E,"&gt;="&amp;F280,DISPONIBILIDADE!F:F,"Ambas",DISPONIBILIDADE!G:G,"Sim"))&gt;0,COUNTIFS($G$3:$G$502,G280,$B$3:$B$502,B280,$E$3:$E$502,"&lt;"&amp;F280,$F$3:$F$502,"&gt;"&amp;E280,$A$3:$A$502,"&lt;&gt;"&amp;A280)=0),"Sim","Não"))</f>
        <v/>
      </c>
      <c r="L280" s="13" t="str">
        <f>IF(OR(G280="",D280=""),"",IF(COUNTIFS('RESTRIÇÕES'!A:A,G280,'RESTRIÇÕES'!C:C,D280,'RESTRIÇÕES'!F:F,"Sim")&gt;0,"Com restrição","Sem restrição"))</f>
        <v/>
      </c>
      <c r="M280" s="13" t="str">
        <f t="shared" si="2"/>
        <v/>
      </c>
    </row>
    <row r="281" ht="15.75" customHeight="1">
      <c r="A281" s="11" t="str">
        <f t="shared" si="3"/>
        <v/>
      </c>
      <c r="B281" s="28"/>
      <c r="C281" s="11" t="str">
        <f t="shared" si="4"/>
        <v/>
      </c>
      <c r="D281" s="10"/>
      <c r="E281" s="19"/>
      <c r="F281" s="19"/>
      <c r="G281" s="10"/>
      <c r="H281" s="11" t="str">
        <f>IF(G281="","",IFERROR(VLOOKUP(G281,PROFESSORES!A:B,2,FALSE),""))</f>
        <v/>
      </c>
      <c r="I281" s="10"/>
      <c r="J281" s="10"/>
      <c r="K281" s="11" t="str">
        <f>IF(OR(G281="",C281="",E281="",F281="",I281=""),"",IF(AND((COUNTIFS(DISPONIBILIDADE!A:A,G281,DISPONIBILIDADE!C:C,C281,DISPONIBILIDADE!D:D,"&lt;="&amp;E281,DISPONIBILIDADE!E:E,"&gt;="&amp;F281,DISPONIBILIDADE!F:F,I281,DISPONIBILIDADE!G:G,"Sim")+COUNTIFS(DISPONIBILIDADE!A:A,G281,DISPONIBILIDADE!C:C,C281,DISPONIBILIDADE!D:D,"&lt;="&amp;E281,DISPONIBILIDADE!E:E,"&gt;="&amp;F281,DISPONIBILIDADE!F:F,"Ambas",DISPONIBILIDADE!G:G,"Sim"))&gt;0,COUNTIFS($G$3:$G$502,G281,$B$3:$B$502,B281,$E$3:$E$502,"&lt;"&amp;F281,$F$3:$F$502,"&gt;"&amp;E281,$A$3:$A$502,"&lt;&gt;"&amp;A281)=0),"Sim","Não"))</f>
        <v/>
      </c>
      <c r="L281" s="11" t="str">
        <f>IF(OR(G281="",D281=""),"",IF(COUNTIFS('RESTRIÇÕES'!A:A,G281,'RESTRIÇÕES'!C:C,D281,'RESTRIÇÕES'!F:F,"Sim")&gt;0,"Com restrição","Sem restrição"))</f>
        <v/>
      </c>
      <c r="M281" s="11" t="str">
        <f t="shared" si="2"/>
        <v/>
      </c>
    </row>
    <row r="282" ht="15.75" customHeight="1">
      <c r="A282" s="13" t="str">
        <f t="shared" si="3"/>
        <v/>
      </c>
      <c r="B282" s="27"/>
      <c r="C282" s="13" t="str">
        <f t="shared" si="4"/>
        <v/>
      </c>
      <c r="D282" s="12"/>
      <c r="E282" s="21"/>
      <c r="F282" s="21"/>
      <c r="G282" s="12"/>
      <c r="H282" s="13" t="str">
        <f>IF(G282="","",IFERROR(VLOOKUP(G282,PROFESSORES!A:B,2,FALSE),""))</f>
        <v/>
      </c>
      <c r="I282" s="12"/>
      <c r="J282" s="12"/>
      <c r="K282" s="13" t="str">
        <f>IF(OR(G282="",C282="",E282="",F282="",I282=""),"",IF(AND((COUNTIFS(DISPONIBILIDADE!A:A,G282,DISPONIBILIDADE!C:C,C282,DISPONIBILIDADE!D:D,"&lt;="&amp;E282,DISPONIBILIDADE!E:E,"&gt;="&amp;F282,DISPONIBILIDADE!F:F,I282,DISPONIBILIDADE!G:G,"Sim")+COUNTIFS(DISPONIBILIDADE!A:A,G282,DISPONIBILIDADE!C:C,C282,DISPONIBILIDADE!D:D,"&lt;="&amp;E282,DISPONIBILIDADE!E:E,"&gt;="&amp;F282,DISPONIBILIDADE!F:F,"Ambas",DISPONIBILIDADE!G:G,"Sim"))&gt;0,COUNTIFS($G$3:$G$502,G282,$B$3:$B$502,B282,$E$3:$E$502,"&lt;"&amp;F282,$F$3:$F$502,"&gt;"&amp;E282,$A$3:$A$502,"&lt;&gt;"&amp;A282)=0),"Sim","Não"))</f>
        <v/>
      </c>
      <c r="L282" s="13" t="str">
        <f>IF(OR(G282="",D282=""),"",IF(COUNTIFS('RESTRIÇÕES'!A:A,G282,'RESTRIÇÕES'!C:C,D282,'RESTRIÇÕES'!F:F,"Sim")&gt;0,"Com restrição","Sem restrição"))</f>
        <v/>
      </c>
      <c r="M282" s="13" t="str">
        <f t="shared" si="2"/>
        <v/>
      </c>
    </row>
    <row r="283" ht="15.75" customHeight="1">
      <c r="A283" s="11" t="str">
        <f t="shared" si="3"/>
        <v/>
      </c>
      <c r="B283" s="28"/>
      <c r="C283" s="11" t="str">
        <f t="shared" si="4"/>
        <v/>
      </c>
      <c r="D283" s="10"/>
      <c r="E283" s="19"/>
      <c r="F283" s="19"/>
      <c r="G283" s="10"/>
      <c r="H283" s="11" t="str">
        <f>IF(G283="","",IFERROR(VLOOKUP(G283,PROFESSORES!A:B,2,FALSE),""))</f>
        <v/>
      </c>
      <c r="I283" s="10"/>
      <c r="J283" s="10"/>
      <c r="K283" s="11" t="str">
        <f>IF(OR(G283="",C283="",E283="",F283="",I283=""),"",IF(AND((COUNTIFS(DISPONIBILIDADE!A:A,G283,DISPONIBILIDADE!C:C,C283,DISPONIBILIDADE!D:D,"&lt;="&amp;E283,DISPONIBILIDADE!E:E,"&gt;="&amp;F283,DISPONIBILIDADE!F:F,I283,DISPONIBILIDADE!G:G,"Sim")+COUNTIFS(DISPONIBILIDADE!A:A,G283,DISPONIBILIDADE!C:C,C283,DISPONIBILIDADE!D:D,"&lt;="&amp;E283,DISPONIBILIDADE!E:E,"&gt;="&amp;F283,DISPONIBILIDADE!F:F,"Ambas",DISPONIBILIDADE!G:G,"Sim"))&gt;0,COUNTIFS($G$3:$G$502,G283,$B$3:$B$502,B283,$E$3:$E$502,"&lt;"&amp;F283,$F$3:$F$502,"&gt;"&amp;E283,$A$3:$A$502,"&lt;&gt;"&amp;A283)=0),"Sim","Não"))</f>
        <v/>
      </c>
      <c r="L283" s="11" t="str">
        <f>IF(OR(G283="",D283=""),"",IF(COUNTIFS('RESTRIÇÕES'!A:A,G283,'RESTRIÇÕES'!C:C,D283,'RESTRIÇÕES'!F:F,"Sim")&gt;0,"Com restrição","Sem restrição"))</f>
        <v/>
      </c>
      <c r="M283" s="11" t="str">
        <f t="shared" si="2"/>
        <v/>
      </c>
    </row>
    <row r="284" ht="15.75" customHeight="1">
      <c r="A284" s="13" t="str">
        <f t="shared" si="3"/>
        <v/>
      </c>
      <c r="B284" s="27"/>
      <c r="C284" s="13" t="str">
        <f t="shared" si="4"/>
        <v/>
      </c>
      <c r="D284" s="12"/>
      <c r="E284" s="21"/>
      <c r="F284" s="21"/>
      <c r="G284" s="12"/>
      <c r="H284" s="13" t="str">
        <f>IF(G284="","",IFERROR(VLOOKUP(G284,PROFESSORES!A:B,2,FALSE),""))</f>
        <v/>
      </c>
      <c r="I284" s="12"/>
      <c r="J284" s="12"/>
      <c r="K284" s="13" t="str">
        <f>IF(OR(G284="",C284="",E284="",F284="",I284=""),"",IF(AND((COUNTIFS(DISPONIBILIDADE!A:A,G284,DISPONIBILIDADE!C:C,C284,DISPONIBILIDADE!D:D,"&lt;="&amp;E284,DISPONIBILIDADE!E:E,"&gt;="&amp;F284,DISPONIBILIDADE!F:F,I284,DISPONIBILIDADE!G:G,"Sim")+COUNTIFS(DISPONIBILIDADE!A:A,G284,DISPONIBILIDADE!C:C,C284,DISPONIBILIDADE!D:D,"&lt;="&amp;E284,DISPONIBILIDADE!E:E,"&gt;="&amp;F284,DISPONIBILIDADE!F:F,"Ambas",DISPONIBILIDADE!G:G,"Sim"))&gt;0,COUNTIFS($G$3:$G$502,G284,$B$3:$B$502,B284,$E$3:$E$502,"&lt;"&amp;F284,$F$3:$F$502,"&gt;"&amp;E284,$A$3:$A$502,"&lt;&gt;"&amp;A284)=0),"Sim","Não"))</f>
        <v/>
      </c>
      <c r="L284" s="13" t="str">
        <f>IF(OR(G284="",D284=""),"",IF(COUNTIFS('RESTRIÇÕES'!A:A,G284,'RESTRIÇÕES'!C:C,D284,'RESTRIÇÕES'!F:F,"Sim")&gt;0,"Com restrição","Sem restrição"))</f>
        <v/>
      </c>
      <c r="M284" s="13" t="str">
        <f t="shared" si="2"/>
        <v/>
      </c>
    </row>
    <row r="285" ht="15.75" customHeight="1">
      <c r="A285" s="11" t="str">
        <f t="shared" si="3"/>
        <v/>
      </c>
      <c r="B285" s="28"/>
      <c r="C285" s="11" t="str">
        <f t="shared" si="4"/>
        <v/>
      </c>
      <c r="D285" s="10"/>
      <c r="E285" s="19"/>
      <c r="F285" s="19"/>
      <c r="G285" s="10"/>
      <c r="H285" s="11" t="str">
        <f>IF(G285="","",IFERROR(VLOOKUP(G285,PROFESSORES!A:B,2,FALSE),""))</f>
        <v/>
      </c>
      <c r="I285" s="10"/>
      <c r="J285" s="10"/>
      <c r="K285" s="11" t="str">
        <f>IF(OR(G285="",C285="",E285="",F285="",I285=""),"",IF(AND((COUNTIFS(DISPONIBILIDADE!A:A,G285,DISPONIBILIDADE!C:C,C285,DISPONIBILIDADE!D:D,"&lt;="&amp;E285,DISPONIBILIDADE!E:E,"&gt;="&amp;F285,DISPONIBILIDADE!F:F,I285,DISPONIBILIDADE!G:G,"Sim")+COUNTIFS(DISPONIBILIDADE!A:A,G285,DISPONIBILIDADE!C:C,C285,DISPONIBILIDADE!D:D,"&lt;="&amp;E285,DISPONIBILIDADE!E:E,"&gt;="&amp;F285,DISPONIBILIDADE!F:F,"Ambas",DISPONIBILIDADE!G:G,"Sim"))&gt;0,COUNTIFS($G$3:$G$502,G285,$B$3:$B$502,B285,$E$3:$E$502,"&lt;"&amp;F285,$F$3:$F$502,"&gt;"&amp;E285,$A$3:$A$502,"&lt;&gt;"&amp;A285)=0),"Sim","Não"))</f>
        <v/>
      </c>
      <c r="L285" s="11" t="str">
        <f>IF(OR(G285="",D285=""),"",IF(COUNTIFS('RESTRIÇÕES'!A:A,G285,'RESTRIÇÕES'!C:C,D285,'RESTRIÇÕES'!F:F,"Sim")&gt;0,"Com restrição","Sem restrição"))</f>
        <v/>
      </c>
      <c r="M285" s="11" t="str">
        <f t="shared" si="2"/>
        <v/>
      </c>
    </row>
    <row r="286" ht="15.75" customHeight="1">
      <c r="A286" s="13" t="str">
        <f t="shared" si="3"/>
        <v/>
      </c>
      <c r="B286" s="27"/>
      <c r="C286" s="13" t="str">
        <f t="shared" si="4"/>
        <v/>
      </c>
      <c r="D286" s="12"/>
      <c r="E286" s="21"/>
      <c r="F286" s="21"/>
      <c r="G286" s="12"/>
      <c r="H286" s="13" t="str">
        <f>IF(G286="","",IFERROR(VLOOKUP(G286,PROFESSORES!A:B,2,FALSE),""))</f>
        <v/>
      </c>
      <c r="I286" s="12"/>
      <c r="J286" s="12"/>
      <c r="K286" s="13" t="str">
        <f>IF(OR(G286="",C286="",E286="",F286="",I286=""),"",IF(AND((COUNTIFS(DISPONIBILIDADE!A:A,G286,DISPONIBILIDADE!C:C,C286,DISPONIBILIDADE!D:D,"&lt;="&amp;E286,DISPONIBILIDADE!E:E,"&gt;="&amp;F286,DISPONIBILIDADE!F:F,I286,DISPONIBILIDADE!G:G,"Sim")+COUNTIFS(DISPONIBILIDADE!A:A,G286,DISPONIBILIDADE!C:C,C286,DISPONIBILIDADE!D:D,"&lt;="&amp;E286,DISPONIBILIDADE!E:E,"&gt;="&amp;F286,DISPONIBILIDADE!F:F,"Ambas",DISPONIBILIDADE!G:G,"Sim"))&gt;0,COUNTIFS($G$3:$G$502,G286,$B$3:$B$502,B286,$E$3:$E$502,"&lt;"&amp;F286,$F$3:$F$502,"&gt;"&amp;E286,$A$3:$A$502,"&lt;&gt;"&amp;A286)=0),"Sim","Não"))</f>
        <v/>
      </c>
      <c r="L286" s="13" t="str">
        <f>IF(OR(G286="",D286=""),"",IF(COUNTIFS('RESTRIÇÕES'!A:A,G286,'RESTRIÇÕES'!C:C,D286,'RESTRIÇÕES'!F:F,"Sim")&gt;0,"Com restrição","Sem restrição"))</f>
        <v/>
      </c>
      <c r="M286" s="13" t="str">
        <f t="shared" si="2"/>
        <v/>
      </c>
    </row>
    <row r="287" ht="15.75" customHeight="1">
      <c r="A287" s="11" t="str">
        <f t="shared" si="3"/>
        <v/>
      </c>
      <c r="B287" s="28"/>
      <c r="C287" s="11" t="str">
        <f t="shared" si="4"/>
        <v/>
      </c>
      <c r="D287" s="10"/>
      <c r="E287" s="19"/>
      <c r="F287" s="19"/>
      <c r="G287" s="10"/>
      <c r="H287" s="11" t="str">
        <f>IF(G287="","",IFERROR(VLOOKUP(G287,PROFESSORES!A:B,2,FALSE),""))</f>
        <v/>
      </c>
      <c r="I287" s="10"/>
      <c r="J287" s="10"/>
      <c r="K287" s="11" t="str">
        <f>IF(OR(G287="",C287="",E287="",F287="",I287=""),"",IF(AND((COUNTIFS(DISPONIBILIDADE!A:A,G287,DISPONIBILIDADE!C:C,C287,DISPONIBILIDADE!D:D,"&lt;="&amp;E287,DISPONIBILIDADE!E:E,"&gt;="&amp;F287,DISPONIBILIDADE!F:F,I287,DISPONIBILIDADE!G:G,"Sim")+COUNTIFS(DISPONIBILIDADE!A:A,G287,DISPONIBILIDADE!C:C,C287,DISPONIBILIDADE!D:D,"&lt;="&amp;E287,DISPONIBILIDADE!E:E,"&gt;="&amp;F287,DISPONIBILIDADE!F:F,"Ambas",DISPONIBILIDADE!G:G,"Sim"))&gt;0,COUNTIFS($G$3:$G$502,G287,$B$3:$B$502,B287,$E$3:$E$502,"&lt;"&amp;F287,$F$3:$F$502,"&gt;"&amp;E287,$A$3:$A$502,"&lt;&gt;"&amp;A287)=0),"Sim","Não"))</f>
        <v/>
      </c>
      <c r="L287" s="11" t="str">
        <f>IF(OR(G287="",D287=""),"",IF(COUNTIFS('RESTRIÇÕES'!A:A,G287,'RESTRIÇÕES'!C:C,D287,'RESTRIÇÕES'!F:F,"Sim")&gt;0,"Com restrição","Sem restrição"))</f>
        <v/>
      </c>
      <c r="M287" s="11" t="str">
        <f t="shared" si="2"/>
        <v/>
      </c>
    </row>
    <row r="288" ht="15.75" customHeight="1">
      <c r="A288" s="13" t="str">
        <f t="shared" si="3"/>
        <v/>
      </c>
      <c r="B288" s="27"/>
      <c r="C288" s="13" t="str">
        <f t="shared" si="4"/>
        <v/>
      </c>
      <c r="D288" s="12"/>
      <c r="E288" s="21"/>
      <c r="F288" s="21"/>
      <c r="G288" s="12"/>
      <c r="H288" s="13" t="str">
        <f>IF(G288="","",IFERROR(VLOOKUP(G288,PROFESSORES!A:B,2,FALSE),""))</f>
        <v/>
      </c>
      <c r="I288" s="12"/>
      <c r="J288" s="12"/>
      <c r="K288" s="13" t="str">
        <f>IF(OR(G288="",C288="",E288="",F288="",I288=""),"",IF(AND((COUNTIFS(DISPONIBILIDADE!A:A,G288,DISPONIBILIDADE!C:C,C288,DISPONIBILIDADE!D:D,"&lt;="&amp;E288,DISPONIBILIDADE!E:E,"&gt;="&amp;F288,DISPONIBILIDADE!F:F,I288,DISPONIBILIDADE!G:G,"Sim")+COUNTIFS(DISPONIBILIDADE!A:A,G288,DISPONIBILIDADE!C:C,C288,DISPONIBILIDADE!D:D,"&lt;="&amp;E288,DISPONIBILIDADE!E:E,"&gt;="&amp;F288,DISPONIBILIDADE!F:F,"Ambas",DISPONIBILIDADE!G:G,"Sim"))&gt;0,COUNTIFS($G$3:$G$502,G288,$B$3:$B$502,B288,$E$3:$E$502,"&lt;"&amp;F288,$F$3:$F$502,"&gt;"&amp;E288,$A$3:$A$502,"&lt;&gt;"&amp;A288)=0),"Sim","Não"))</f>
        <v/>
      </c>
      <c r="L288" s="13" t="str">
        <f>IF(OR(G288="",D288=""),"",IF(COUNTIFS('RESTRIÇÕES'!A:A,G288,'RESTRIÇÕES'!C:C,D288,'RESTRIÇÕES'!F:F,"Sim")&gt;0,"Com restrição","Sem restrição"))</f>
        <v/>
      </c>
      <c r="M288" s="13" t="str">
        <f t="shared" si="2"/>
        <v/>
      </c>
    </row>
    <row r="289" ht="15.75" customHeight="1">
      <c r="A289" s="11" t="str">
        <f t="shared" si="3"/>
        <v/>
      </c>
      <c r="B289" s="28"/>
      <c r="C289" s="11" t="str">
        <f t="shared" si="4"/>
        <v/>
      </c>
      <c r="D289" s="10"/>
      <c r="E289" s="19"/>
      <c r="F289" s="19"/>
      <c r="G289" s="10"/>
      <c r="H289" s="11" t="str">
        <f>IF(G289="","",IFERROR(VLOOKUP(G289,PROFESSORES!A:B,2,FALSE),""))</f>
        <v/>
      </c>
      <c r="I289" s="10"/>
      <c r="J289" s="10"/>
      <c r="K289" s="11" t="str">
        <f>IF(OR(G289="",C289="",E289="",F289="",I289=""),"",IF(AND((COUNTIFS(DISPONIBILIDADE!A:A,G289,DISPONIBILIDADE!C:C,C289,DISPONIBILIDADE!D:D,"&lt;="&amp;E289,DISPONIBILIDADE!E:E,"&gt;="&amp;F289,DISPONIBILIDADE!F:F,I289,DISPONIBILIDADE!G:G,"Sim")+COUNTIFS(DISPONIBILIDADE!A:A,G289,DISPONIBILIDADE!C:C,C289,DISPONIBILIDADE!D:D,"&lt;="&amp;E289,DISPONIBILIDADE!E:E,"&gt;="&amp;F289,DISPONIBILIDADE!F:F,"Ambas",DISPONIBILIDADE!G:G,"Sim"))&gt;0,COUNTIFS($G$3:$G$502,G289,$B$3:$B$502,B289,$E$3:$E$502,"&lt;"&amp;F289,$F$3:$F$502,"&gt;"&amp;E289,$A$3:$A$502,"&lt;&gt;"&amp;A289)=0),"Sim","Não"))</f>
        <v/>
      </c>
      <c r="L289" s="11" t="str">
        <f>IF(OR(G289="",D289=""),"",IF(COUNTIFS('RESTRIÇÕES'!A:A,G289,'RESTRIÇÕES'!C:C,D289,'RESTRIÇÕES'!F:F,"Sim")&gt;0,"Com restrição","Sem restrição"))</f>
        <v/>
      </c>
      <c r="M289" s="11" t="str">
        <f t="shared" si="2"/>
        <v/>
      </c>
    </row>
    <row r="290" ht="15.75" customHeight="1">
      <c r="A290" s="13" t="str">
        <f t="shared" si="3"/>
        <v/>
      </c>
      <c r="B290" s="27"/>
      <c r="C290" s="13" t="str">
        <f t="shared" si="4"/>
        <v/>
      </c>
      <c r="D290" s="12"/>
      <c r="E290" s="21"/>
      <c r="F290" s="21"/>
      <c r="G290" s="12"/>
      <c r="H290" s="13" t="str">
        <f>IF(G290="","",IFERROR(VLOOKUP(G290,PROFESSORES!A:B,2,FALSE),""))</f>
        <v/>
      </c>
      <c r="I290" s="12"/>
      <c r="J290" s="12"/>
      <c r="K290" s="13" t="str">
        <f>IF(OR(G290="",C290="",E290="",F290="",I290=""),"",IF(AND((COUNTIFS(DISPONIBILIDADE!A:A,G290,DISPONIBILIDADE!C:C,C290,DISPONIBILIDADE!D:D,"&lt;="&amp;E290,DISPONIBILIDADE!E:E,"&gt;="&amp;F290,DISPONIBILIDADE!F:F,I290,DISPONIBILIDADE!G:G,"Sim")+COUNTIFS(DISPONIBILIDADE!A:A,G290,DISPONIBILIDADE!C:C,C290,DISPONIBILIDADE!D:D,"&lt;="&amp;E290,DISPONIBILIDADE!E:E,"&gt;="&amp;F290,DISPONIBILIDADE!F:F,"Ambas",DISPONIBILIDADE!G:G,"Sim"))&gt;0,COUNTIFS($G$3:$G$502,G290,$B$3:$B$502,B290,$E$3:$E$502,"&lt;"&amp;F290,$F$3:$F$502,"&gt;"&amp;E290,$A$3:$A$502,"&lt;&gt;"&amp;A290)=0),"Sim","Não"))</f>
        <v/>
      </c>
      <c r="L290" s="13" t="str">
        <f>IF(OR(G290="",D290=""),"",IF(COUNTIFS('RESTRIÇÕES'!A:A,G290,'RESTRIÇÕES'!C:C,D290,'RESTRIÇÕES'!F:F,"Sim")&gt;0,"Com restrição","Sem restrição"))</f>
        <v/>
      </c>
      <c r="M290" s="13" t="str">
        <f t="shared" si="2"/>
        <v/>
      </c>
    </row>
    <row r="291" ht="15.75" customHeight="1">
      <c r="A291" s="11" t="str">
        <f t="shared" si="3"/>
        <v/>
      </c>
      <c r="B291" s="28"/>
      <c r="C291" s="11" t="str">
        <f t="shared" si="4"/>
        <v/>
      </c>
      <c r="D291" s="10"/>
      <c r="E291" s="19"/>
      <c r="F291" s="19"/>
      <c r="G291" s="10"/>
      <c r="H291" s="11" t="str">
        <f>IF(G291="","",IFERROR(VLOOKUP(G291,PROFESSORES!A:B,2,FALSE),""))</f>
        <v/>
      </c>
      <c r="I291" s="10"/>
      <c r="J291" s="10"/>
      <c r="K291" s="11" t="str">
        <f>IF(OR(G291="",C291="",E291="",F291="",I291=""),"",IF(AND((COUNTIFS(DISPONIBILIDADE!A:A,G291,DISPONIBILIDADE!C:C,C291,DISPONIBILIDADE!D:D,"&lt;="&amp;E291,DISPONIBILIDADE!E:E,"&gt;="&amp;F291,DISPONIBILIDADE!F:F,I291,DISPONIBILIDADE!G:G,"Sim")+COUNTIFS(DISPONIBILIDADE!A:A,G291,DISPONIBILIDADE!C:C,C291,DISPONIBILIDADE!D:D,"&lt;="&amp;E291,DISPONIBILIDADE!E:E,"&gt;="&amp;F291,DISPONIBILIDADE!F:F,"Ambas",DISPONIBILIDADE!G:G,"Sim"))&gt;0,COUNTIFS($G$3:$G$502,G291,$B$3:$B$502,B291,$E$3:$E$502,"&lt;"&amp;F291,$F$3:$F$502,"&gt;"&amp;E291,$A$3:$A$502,"&lt;&gt;"&amp;A291)=0),"Sim","Não"))</f>
        <v/>
      </c>
      <c r="L291" s="11" t="str">
        <f>IF(OR(G291="",D291=""),"",IF(COUNTIFS('RESTRIÇÕES'!A:A,G291,'RESTRIÇÕES'!C:C,D291,'RESTRIÇÕES'!F:F,"Sim")&gt;0,"Com restrição","Sem restrição"))</f>
        <v/>
      </c>
      <c r="M291" s="11" t="str">
        <f t="shared" si="2"/>
        <v/>
      </c>
    </row>
    <row r="292" ht="15.75" customHeight="1">
      <c r="A292" s="13" t="str">
        <f t="shared" si="3"/>
        <v/>
      </c>
      <c r="B292" s="27"/>
      <c r="C292" s="13" t="str">
        <f t="shared" si="4"/>
        <v/>
      </c>
      <c r="D292" s="12"/>
      <c r="E292" s="21"/>
      <c r="F292" s="21"/>
      <c r="G292" s="12"/>
      <c r="H292" s="13" t="str">
        <f>IF(G292="","",IFERROR(VLOOKUP(G292,PROFESSORES!A:B,2,FALSE),""))</f>
        <v/>
      </c>
      <c r="I292" s="12"/>
      <c r="J292" s="12"/>
      <c r="K292" s="13" t="str">
        <f>IF(OR(G292="",C292="",E292="",F292="",I292=""),"",IF(AND((COUNTIFS(DISPONIBILIDADE!A:A,G292,DISPONIBILIDADE!C:C,C292,DISPONIBILIDADE!D:D,"&lt;="&amp;E292,DISPONIBILIDADE!E:E,"&gt;="&amp;F292,DISPONIBILIDADE!F:F,I292,DISPONIBILIDADE!G:G,"Sim")+COUNTIFS(DISPONIBILIDADE!A:A,G292,DISPONIBILIDADE!C:C,C292,DISPONIBILIDADE!D:D,"&lt;="&amp;E292,DISPONIBILIDADE!E:E,"&gt;="&amp;F292,DISPONIBILIDADE!F:F,"Ambas",DISPONIBILIDADE!G:G,"Sim"))&gt;0,COUNTIFS($G$3:$G$502,G292,$B$3:$B$502,B292,$E$3:$E$502,"&lt;"&amp;F292,$F$3:$F$502,"&gt;"&amp;E292,$A$3:$A$502,"&lt;&gt;"&amp;A292)=0),"Sim","Não"))</f>
        <v/>
      </c>
      <c r="L292" s="13" t="str">
        <f>IF(OR(G292="",D292=""),"",IF(COUNTIFS('RESTRIÇÕES'!A:A,G292,'RESTRIÇÕES'!C:C,D292,'RESTRIÇÕES'!F:F,"Sim")&gt;0,"Com restrição","Sem restrição"))</f>
        <v/>
      </c>
      <c r="M292" s="13" t="str">
        <f t="shared" si="2"/>
        <v/>
      </c>
    </row>
    <row r="293" ht="15.75" customHeight="1">
      <c r="A293" s="11" t="str">
        <f t="shared" si="3"/>
        <v/>
      </c>
      <c r="B293" s="28"/>
      <c r="C293" s="11" t="str">
        <f t="shared" si="4"/>
        <v/>
      </c>
      <c r="D293" s="10"/>
      <c r="E293" s="19"/>
      <c r="F293" s="19"/>
      <c r="G293" s="10"/>
      <c r="H293" s="11" t="str">
        <f>IF(G293="","",IFERROR(VLOOKUP(G293,PROFESSORES!A:B,2,FALSE),""))</f>
        <v/>
      </c>
      <c r="I293" s="10"/>
      <c r="J293" s="10"/>
      <c r="K293" s="11" t="str">
        <f>IF(OR(G293="",C293="",E293="",F293="",I293=""),"",IF(AND((COUNTIFS(DISPONIBILIDADE!A:A,G293,DISPONIBILIDADE!C:C,C293,DISPONIBILIDADE!D:D,"&lt;="&amp;E293,DISPONIBILIDADE!E:E,"&gt;="&amp;F293,DISPONIBILIDADE!F:F,I293,DISPONIBILIDADE!G:G,"Sim")+COUNTIFS(DISPONIBILIDADE!A:A,G293,DISPONIBILIDADE!C:C,C293,DISPONIBILIDADE!D:D,"&lt;="&amp;E293,DISPONIBILIDADE!E:E,"&gt;="&amp;F293,DISPONIBILIDADE!F:F,"Ambas",DISPONIBILIDADE!G:G,"Sim"))&gt;0,COUNTIFS($G$3:$G$502,G293,$B$3:$B$502,B293,$E$3:$E$502,"&lt;"&amp;F293,$F$3:$F$502,"&gt;"&amp;E293,$A$3:$A$502,"&lt;&gt;"&amp;A293)=0),"Sim","Não"))</f>
        <v/>
      </c>
      <c r="L293" s="11" t="str">
        <f>IF(OR(G293="",D293=""),"",IF(COUNTIFS('RESTRIÇÕES'!A:A,G293,'RESTRIÇÕES'!C:C,D293,'RESTRIÇÕES'!F:F,"Sim")&gt;0,"Com restrição","Sem restrição"))</f>
        <v/>
      </c>
      <c r="M293" s="11" t="str">
        <f t="shared" si="2"/>
        <v/>
      </c>
    </row>
    <row r="294" ht="15.75" customHeight="1">
      <c r="A294" s="13" t="str">
        <f t="shared" si="3"/>
        <v/>
      </c>
      <c r="B294" s="27"/>
      <c r="C294" s="13" t="str">
        <f t="shared" si="4"/>
        <v/>
      </c>
      <c r="D294" s="12"/>
      <c r="E294" s="21"/>
      <c r="F294" s="21"/>
      <c r="G294" s="12"/>
      <c r="H294" s="13" t="str">
        <f>IF(G294="","",IFERROR(VLOOKUP(G294,PROFESSORES!A:B,2,FALSE),""))</f>
        <v/>
      </c>
      <c r="I294" s="12"/>
      <c r="J294" s="12"/>
      <c r="K294" s="13" t="str">
        <f>IF(OR(G294="",C294="",E294="",F294="",I294=""),"",IF(AND((COUNTIFS(DISPONIBILIDADE!A:A,G294,DISPONIBILIDADE!C:C,C294,DISPONIBILIDADE!D:D,"&lt;="&amp;E294,DISPONIBILIDADE!E:E,"&gt;="&amp;F294,DISPONIBILIDADE!F:F,I294,DISPONIBILIDADE!G:G,"Sim")+COUNTIFS(DISPONIBILIDADE!A:A,G294,DISPONIBILIDADE!C:C,C294,DISPONIBILIDADE!D:D,"&lt;="&amp;E294,DISPONIBILIDADE!E:E,"&gt;="&amp;F294,DISPONIBILIDADE!F:F,"Ambas",DISPONIBILIDADE!G:G,"Sim"))&gt;0,COUNTIFS($G$3:$G$502,G294,$B$3:$B$502,B294,$E$3:$E$502,"&lt;"&amp;F294,$F$3:$F$502,"&gt;"&amp;E294,$A$3:$A$502,"&lt;&gt;"&amp;A294)=0),"Sim","Não"))</f>
        <v/>
      </c>
      <c r="L294" s="13" t="str">
        <f>IF(OR(G294="",D294=""),"",IF(COUNTIFS('RESTRIÇÕES'!A:A,G294,'RESTRIÇÕES'!C:C,D294,'RESTRIÇÕES'!F:F,"Sim")&gt;0,"Com restrição","Sem restrição"))</f>
        <v/>
      </c>
      <c r="M294" s="13" t="str">
        <f t="shared" si="2"/>
        <v/>
      </c>
    </row>
    <row r="295" ht="15.75" customHeight="1">
      <c r="A295" s="11" t="str">
        <f t="shared" si="3"/>
        <v/>
      </c>
      <c r="B295" s="28"/>
      <c r="C295" s="11" t="str">
        <f t="shared" si="4"/>
        <v/>
      </c>
      <c r="D295" s="10"/>
      <c r="E295" s="19"/>
      <c r="F295" s="19"/>
      <c r="G295" s="10"/>
      <c r="H295" s="11" t="str">
        <f>IF(G295="","",IFERROR(VLOOKUP(G295,PROFESSORES!A:B,2,FALSE),""))</f>
        <v/>
      </c>
      <c r="I295" s="10"/>
      <c r="J295" s="10"/>
      <c r="K295" s="11" t="str">
        <f>IF(OR(G295="",C295="",E295="",F295="",I295=""),"",IF(AND((COUNTIFS(DISPONIBILIDADE!A:A,G295,DISPONIBILIDADE!C:C,C295,DISPONIBILIDADE!D:D,"&lt;="&amp;E295,DISPONIBILIDADE!E:E,"&gt;="&amp;F295,DISPONIBILIDADE!F:F,I295,DISPONIBILIDADE!G:G,"Sim")+COUNTIFS(DISPONIBILIDADE!A:A,G295,DISPONIBILIDADE!C:C,C295,DISPONIBILIDADE!D:D,"&lt;="&amp;E295,DISPONIBILIDADE!E:E,"&gt;="&amp;F295,DISPONIBILIDADE!F:F,"Ambas",DISPONIBILIDADE!G:G,"Sim"))&gt;0,COUNTIFS($G$3:$G$502,G295,$B$3:$B$502,B295,$E$3:$E$502,"&lt;"&amp;F295,$F$3:$F$502,"&gt;"&amp;E295,$A$3:$A$502,"&lt;&gt;"&amp;A295)=0),"Sim","Não"))</f>
        <v/>
      </c>
      <c r="L295" s="11" t="str">
        <f>IF(OR(G295="",D295=""),"",IF(COUNTIFS('RESTRIÇÕES'!A:A,G295,'RESTRIÇÕES'!C:C,D295,'RESTRIÇÕES'!F:F,"Sim")&gt;0,"Com restrição","Sem restrição"))</f>
        <v/>
      </c>
      <c r="M295" s="11" t="str">
        <f t="shared" si="2"/>
        <v/>
      </c>
    </row>
    <row r="296" ht="15.75" customHeight="1">
      <c r="A296" s="13" t="str">
        <f t="shared" si="3"/>
        <v/>
      </c>
      <c r="B296" s="27"/>
      <c r="C296" s="13" t="str">
        <f t="shared" si="4"/>
        <v/>
      </c>
      <c r="D296" s="12"/>
      <c r="E296" s="21"/>
      <c r="F296" s="21"/>
      <c r="G296" s="12"/>
      <c r="H296" s="13" t="str">
        <f>IF(G296="","",IFERROR(VLOOKUP(G296,PROFESSORES!A:B,2,FALSE),""))</f>
        <v/>
      </c>
      <c r="I296" s="12"/>
      <c r="J296" s="12"/>
      <c r="K296" s="13" t="str">
        <f>IF(OR(G296="",C296="",E296="",F296="",I296=""),"",IF(AND((COUNTIFS(DISPONIBILIDADE!A:A,G296,DISPONIBILIDADE!C:C,C296,DISPONIBILIDADE!D:D,"&lt;="&amp;E296,DISPONIBILIDADE!E:E,"&gt;="&amp;F296,DISPONIBILIDADE!F:F,I296,DISPONIBILIDADE!G:G,"Sim")+COUNTIFS(DISPONIBILIDADE!A:A,G296,DISPONIBILIDADE!C:C,C296,DISPONIBILIDADE!D:D,"&lt;="&amp;E296,DISPONIBILIDADE!E:E,"&gt;="&amp;F296,DISPONIBILIDADE!F:F,"Ambas",DISPONIBILIDADE!G:G,"Sim"))&gt;0,COUNTIFS($G$3:$G$502,G296,$B$3:$B$502,B296,$E$3:$E$502,"&lt;"&amp;F296,$F$3:$F$502,"&gt;"&amp;E296,$A$3:$A$502,"&lt;&gt;"&amp;A296)=0),"Sim","Não"))</f>
        <v/>
      </c>
      <c r="L296" s="13" t="str">
        <f>IF(OR(G296="",D296=""),"",IF(COUNTIFS('RESTRIÇÕES'!A:A,G296,'RESTRIÇÕES'!C:C,D296,'RESTRIÇÕES'!F:F,"Sim")&gt;0,"Com restrição","Sem restrição"))</f>
        <v/>
      </c>
      <c r="M296" s="13" t="str">
        <f t="shared" si="2"/>
        <v/>
      </c>
    </row>
    <row r="297" ht="15.75" customHeight="1">
      <c r="A297" s="11" t="str">
        <f t="shared" si="3"/>
        <v/>
      </c>
      <c r="B297" s="28"/>
      <c r="C297" s="11" t="str">
        <f t="shared" si="4"/>
        <v/>
      </c>
      <c r="D297" s="10"/>
      <c r="E297" s="19"/>
      <c r="F297" s="19"/>
      <c r="G297" s="10"/>
      <c r="H297" s="11" t="str">
        <f>IF(G297="","",IFERROR(VLOOKUP(G297,PROFESSORES!A:B,2,FALSE),""))</f>
        <v/>
      </c>
      <c r="I297" s="10"/>
      <c r="J297" s="10"/>
      <c r="K297" s="11" t="str">
        <f>IF(OR(G297="",C297="",E297="",F297="",I297=""),"",IF(AND((COUNTIFS(DISPONIBILIDADE!A:A,G297,DISPONIBILIDADE!C:C,C297,DISPONIBILIDADE!D:D,"&lt;="&amp;E297,DISPONIBILIDADE!E:E,"&gt;="&amp;F297,DISPONIBILIDADE!F:F,I297,DISPONIBILIDADE!G:G,"Sim")+COUNTIFS(DISPONIBILIDADE!A:A,G297,DISPONIBILIDADE!C:C,C297,DISPONIBILIDADE!D:D,"&lt;="&amp;E297,DISPONIBILIDADE!E:E,"&gt;="&amp;F297,DISPONIBILIDADE!F:F,"Ambas",DISPONIBILIDADE!G:G,"Sim"))&gt;0,COUNTIFS($G$3:$G$502,G297,$B$3:$B$502,B297,$E$3:$E$502,"&lt;"&amp;F297,$F$3:$F$502,"&gt;"&amp;E297,$A$3:$A$502,"&lt;&gt;"&amp;A297)=0),"Sim","Não"))</f>
        <v/>
      </c>
      <c r="L297" s="11" t="str">
        <f>IF(OR(G297="",D297=""),"",IF(COUNTIFS('RESTRIÇÕES'!A:A,G297,'RESTRIÇÕES'!C:C,D297,'RESTRIÇÕES'!F:F,"Sim")&gt;0,"Com restrição","Sem restrição"))</f>
        <v/>
      </c>
      <c r="M297" s="11" t="str">
        <f t="shared" si="2"/>
        <v/>
      </c>
    </row>
    <row r="298" ht="15.75" customHeight="1">
      <c r="A298" s="13" t="str">
        <f t="shared" si="3"/>
        <v/>
      </c>
      <c r="B298" s="27"/>
      <c r="C298" s="13" t="str">
        <f t="shared" si="4"/>
        <v/>
      </c>
      <c r="D298" s="12"/>
      <c r="E298" s="21"/>
      <c r="F298" s="21"/>
      <c r="G298" s="12"/>
      <c r="H298" s="13" t="str">
        <f>IF(G298="","",IFERROR(VLOOKUP(G298,PROFESSORES!A:B,2,FALSE),""))</f>
        <v/>
      </c>
      <c r="I298" s="12"/>
      <c r="J298" s="12"/>
      <c r="K298" s="13" t="str">
        <f>IF(OR(G298="",C298="",E298="",F298="",I298=""),"",IF(AND((COUNTIFS(DISPONIBILIDADE!A:A,G298,DISPONIBILIDADE!C:C,C298,DISPONIBILIDADE!D:D,"&lt;="&amp;E298,DISPONIBILIDADE!E:E,"&gt;="&amp;F298,DISPONIBILIDADE!F:F,I298,DISPONIBILIDADE!G:G,"Sim")+COUNTIFS(DISPONIBILIDADE!A:A,G298,DISPONIBILIDADE!C:C,C298,DISPONIBILIDADE!D:D,"&lt;="&amp;E298,DISPONIBILIDADE!E:E,"&gt;="&amp;F298,DISPONIBILIDADE!F:F,"Ambas",DISPONIBILIDADE!G:G,"Sim"))&gt;0,COUNTIFS($G$3:$G$502,G298,$B$3:$B$502,B298,$E$3:$E$502,"&lt;"&amp;F298,$F$3:$F$502,"&gt;"&amp;E298,$A$3:$A$502,"&lt;&gt;"&amp;A298)=0),"Sim","Não"))</f>
        <v/>
      </c>
      <c r="L298" s="13" t="str">
        <f>IF(OR(G298="",D298=""),"",IF(COUNTIFS('RESTRIÇÕES'!A:A,G298,'RESTRIÇÕES'!C:C,D298,'RESTRIÇÕES'!F:F,"Sim")&gt;0,"Com restrição","Sem restrição"))</f>
        <v/>
      </c>
      <c r="M298" s="13" t="str">
        <f t="shared" si="2"/>
        <v/>
      </c>
    </row>
    <row r="299" ht="15.75" customHeight="1">
      <c r="A299" s="11" t="str">
        <f t="shared" si="3"/>
        <v/>
      </c>
      <c r="B299" s="28"/>
      <c r="C299" s="11" t="str">
        <f t="shared" si="4"/>
        <v/>
      </c>
      <c r="D299" s="10"/>
      <c r="E299" s="19"/>
      <c r="F299" s="19"/>
      <c r="G299" s="10"/>
      <c r="H299" s="11" t="str">
        <f>IF(G299="","",IFERROR(VLOOKUP(G299,PROFESSORES!A:B,2,FALSE),""))</f>
        <v/>
      </c>
      <c r="I299" s="10"/>
      <c r="J299" s="10"/>
      <c r="K299" s="11" t="str">
        <f>IF(OR(G299="",C299="",E299="",F299="",I299=""),"",IF(AND((COUNTIFS(DISPONIBILIDADE!A:A,G299,DISPONIBILIDADE!C:C,C299,DISPONIBILIDADE!D:D,"&lt;="&amp;E299,DISPONIBILIDADE!E:E,"&gt;="&amp;F299,DISPONIBILIDADE!F:F,I299,DISPONIBILIDADE!G:G,"Sim")+COUNTIFS(DISPONIBILIDADE!A:A,G299,DISPONIBILIDADE!C:C,C299,DISPONIBILIDADE!D:D,"&lt;="&amp;E299,DISPONIBILIDADE!E:E,"&gt;="&amp;F299,DISPONIBILIDADE!F:F,"Ambas",DISPONIBILIDADE!G:G,"Sim"))&gt;0,COUNTIFS($G$3:$G$502,G299,$B$3:$B$502,B299,$E$3:$E$502,"&lt;"&amp;F299,$F$3:$F$502,"&gt;"&amp;E299,$A$3:$A$502,"&lt;&gt;"&amp;A299)=0),"Sim","Não"))</f>
        <v/>
      </c>
      <c r="L299" s="11" t="str">
        <f>IF(OR(G299="",D299=""),"",IF(COUNTIFS('RESTRIÇÕES'!A:A,G299,'RESTRIÇÕES'!C:C,D299,'RESTRIÇÕES'!F:F,"Sim")&gt;0,"Com restrição","Sem restrição"))</f>
        <v/>
      </c>
      <c r="M299" s="11" t="str">
        <f t="shared" si="2"/>
        <v/>
      </c>
    </row>
    <row r="300" ht="15.75" customHeight="1">
      <c r="A300" s="13" t="str">
        <f t="shared" si="3"/>
        <v/>
      </c>
      <c r="B300" s="27"/>
      <c r="C300" s="13" t="str">
        <f t="shared" si="4"/>
        <v/>
      </c>
      <c r="D300" s="12"/>
      <c r="E300" s="21"/>
      <c r="F300" s="21"/>
      <c r="G300" s="12"/>
      <c r="H300" s="13" t="str">
        <f>IF(G300="","",IFERROR(VLOOKUP(G300,PROFESSORES!A:B,2,FALSE),""))</f>
        <v/>
      </c>
      <c r="I300" s="12"/>
      <c r="J300" s="12"/>
      <c r="K300" s="13" t="str">
        <f>IF(OR(G300="",C300="",E300="",F300="",I300=""),"",IF(AND((COUNTIFS(DISPONIBILIDADE!A:A,G300,DISPONIBILIDADE!C:C,C300,DISPONIBILIDADE!D:D,"&lt;="&amp;E300,DISPONIBILIDADE!E:E,"&gt;="&amp;F300,DISPONIBILIDADE!F:F,I300,DISPONIBILIDADE!G:G,"Sim")+COUNTIFS(DISPONIBILIDADE!A:A,G300,DISPONIBILIDADE!C:C,C300,DISPONIBILIDADE!D:D,"&lt;="&amp;E300,DISPONIBILIDADE!E:E,"&gt;="&amp;F300,DISPONIBILIDADE!F:F,"Ambas",DISPONIBILIDADE!G:G,"Sim"))&gt;0,COUNTIFS($G$3:$G$502,G300,$B$3:$B$502,B300,$E$3:$E$502,"&lt;"&amp;F300,$F$3:$F$502,"&gt;"&amp;E300,$A$3:$A$502,"&lt;&gt;"&amp;A300)=0),"Sim","Não"))</f>
        <v/>
      </c>
      <c r="L300" s="13" t="str">
        <f>IF(OR(G300="",D300=""),"",IF(COUNTIFS('RESTRIÇÕES'!A:A,G300,'RESTRIÇÕES'!C:C,D300,'RESTRIÇÕES'!F:F,"Sim")&gt;0,"Com restrição","Sem restrição"))</f>
        <v/>
      </c>
      <c r="M300" s="13" t="str">
        <f t="shared" si="2"/>
        <v/>
      </c>
    </row>
    <row r="301" ht="15.75" customHeight="1">
      <c r="A301" s="11" t="str">
        <f t="shared" si="3"/>
        <v/>
      </c>
      <c r="B301" s="28"/>
      <c r="C301" s="11" t="str">
        <f t="shared" si="4"/>
        <v/>
      </c>
      <c r="D301" s="10"/>
      <c r="E301" s="19"/>
      <c r="F301" s="19"/>
      <c r="G301" s="10"/>
      <c r="H301" s="11" t="str">
        <f>IF(G301="","",IFERROR(VLOOKUP(G301,PROFESSORES!A:B,2,FALSE),""))</f>
        <v/>
      </c>
      <c r="I301" s="10"/>
      <c r="J301" s="10"/>
      <c r="K301" s="11" t="str">
        <f>IF(OR(G301="",C301="",E301="",F301="",I301=""),"",IF(AND((COUNTIFS(DISPONIBILIDADE!A:A,G301,DISPONIBILIDADE!C:C,C301,DISPONIBILIDADE!D:D,"&lt;="&amp;E301,DISPONIBILIDADE!E:E,"&gt;="&amp;F301,DISPONIBILIDADE!F:F,I301,DISPONIBILIDADE!G:G,"Sim")+COUNTIFS(DISPONIBILIDADE!A:A,G301,DISPONIBILIDADE!C:C,C301,DISPONIBILIDADE!D:D,"&lt;="&amp;E301,DISPONIBILIDADE!E:E,"&gt;="&amp;F301,DISPONIBILIDADE!F:F,"Ambas",DISPONIBILIDADE!G:G,"Sim"))&gt;0,COUNTIFS($G$3:$G$502,G301,$B$3:$B$502,B301,$E$3:$E$502,"&lt;"&amp;F301,$F$3:$F$502,"&gt;"&amp;E301,$A$3:$A$502,"&lt;&gt;"&amp;A301)=0),"Sim","Não"))</f>
        <v/>
      </c>
      <c r="L301" s="11" t="str">
        <f>IF(OR(G301="",D301=""),"",IF(COUNTIFS('RESTRIÇÕES'!A:A,G301,'RESTRIÇÕES'!C:C,D301,'RESTRIÇÕES'!F:F,"Sim")&gt;0,"Com restrição","Sem restrição"))</f>
        <v/>
      </c>
      <c r="M301" s="11" t="str">
        <f t="shared" si="2"/>
        <v/>
      </c>
    </row>
    <row r="302" ht="15.75" customHeight="1">
      <c r="A302" s="13" t="str">
        <f t="shared" si="3"/>
        <v/>
      </c>
      <c r="B302" s="27"/>
      <c r="C302" s="13" t="str">
        <f t="shared" si="4"/>
        <v/>
      </c>
      <c r="D302" s="12"/>
      <c r="E302" s="21"/>
      <c r="F302" s="21"/>
      <c r="G302" s="12"/>
      <c r="H302" s="13" t="str">
        <f>IF(G302="","",IFERROR(VLOOKUP(G302,PROFESSORES!A:B,2,FALSE),""))</f>
        <v/>
      </c>
      <c r="I302" s="12"/>
      <c r="J302" s="12"/>
      <c r="K302" s="13" t="str">
        <f>IF(OR(G302="",C302="",E302="",F302="",I302=""),"",IF(AND((COUNTIFS(DISPONIBILIDADE!A:A,G302,DISPONIBILIDADE!C:C,C302,DISPONIBILIDADE!D:D,"&lt;="&amp;E302,DISPONIBILIDADE!E:E,"&gt;="&amp;F302,DISPONIBILIDADE!F:F,I302,DISPONIBILIDADE!G:G,"Sim")+COUNTIFS(DISPONIBILIDADE!A:A,G302,DISPONIBILIDADE!C:C,C302,DISPONIBILIDADE!D:D,"&lt;="&amp;E302,DISPONIBILIDADE!E:E,"&gt;="&amp;F302,DISPONIBILIDADE!F:F,"Ambas",DISPONIBILIDADE!G:G,"Sim"))&gt;0,COUNTIFS($G$3:$G$502,G302,$B$3:$B$502,B302,$E$3:$E$502,"&lt;"&amp;F302,$F$3:$F$502,"&gt;"&amp;E302,$A$3:$A$502,"&lt;&gt;"&amp;A302)=0),"Sim","Não"))</f>
        <v/>
      </c>
      <c r="L302" s="13" t="str">
        <f>IF(OR(G302="",D302=""),"",IF(COUNTIFS('RESTRIÇÕES'!A:A,G302,'RESTRIÇÕES'!C:C,D302,'RESTRIÇÕES'!F:F,"Sim")&gt;0,"Com restrição","Sem restrição"))</f>
        <v/>
      </c>
      <c r="M302" s="13" t="str">
        <f t="shared" si="2"/>
        <v/>
      </c>
    </row>
    <row r="303" ht="15.75" customHeight="1">
      <c r="A303" s="11" t="str">
        <f t="shared" si="3"/>
        <v/>
      </c>
      <c r="B303" s="28"/>
      <c r="C303" s="11" t="str">
        <f t="shared" si="4"/>
        <v/>
      </c>
      <c r="D303" s="10"/>
      <c r="E303" s="19"/>
      <c r="F303" s="19"/>
      <c r="G303" s="10"/>
      <c r="H303" s="11" t="str">
        <f>IF(G303="","",IFERROR(VLOOKUP(G303,PROFESSORES!A:B,2,FALSE),""))</f>
        <v/>
      </c>
      <c r="I303" s="10"/>
      <c r="J303" s="10"/>
      <c r="K303" s="11" t="str">
        <f>IF(OR(G303="",C303="",E303="",F303="",I303=""),"",IF(AND((COUNTIFS(DISPONIBILIDADE!A:A,G303,DISPONIBILIDADE!C:C,C303,DISPONIBILIDADE!D:D,"&lt;="&amp;E303,DISPONIBILIDADE!E:E,"&gt;="&amp;F303,DISPONIBILIDADE!F:F,I303,DISPONIBILIDADE!G:G,"Sim")+COUNTIFS(DISPONIBILIDADE!A:A,G303,DISPONIBILIDADE!C:C,C303,DISPONIBILIDADE!D:D,"&lt;="&amp;E303,DISPONIBILIDADE!E:E,"&gt;="&amp;F303,DISPONIBILIDADE!F:F,"Ambas",DISPONIBILIDADE!G:G,"Sim"))&gt;0,COUNTIFS($G$3:$G$502,G303,$B$3:$B$502,B303,$E$3:$E$502,"&lt;"&amp;F303,$F$3:$F$502,"&gt;"&amp;E303,$A$3:$A$502,"&lt;&gt;"&amp;A303)=0),"Sim","Não"))</f>
        <v/>
      </c>
      <c r="L303" s="11" t="str">
        <f>IF(OR(G303="",D303=""),"",IF(COUNTIFS('RESTRIÇÕES'!A:A,G303,'RESTRIÇÕES'!C:C,D303,'RESTRIÇÕES'!F:F,"Sim")&gt;0,"Com restrição","Sem restrição"))</f>
        <v/>
      </c>
      <c r="M303" s="11" t="str">
        <f t="shared" si="2"/>
        <v/>
      </c>
    </row>
    <row r="304" ht="15.75" customHeight="1">
      <c r="A304" s="13" t="str">
        <f t="shared" si="3"/>
        <v/>
      </c>
      <c r="B304" s="27"/>
      <c r="C304" s="13" t="str">
        <f t="shared" si="4"/>
        <v/>
      </c>
      <c r="D304" s="12"/>
      <c r="E304" s="21"/>
      <c r="F304" s="21"/>
      <c r="G304" s="12"/>
      <c r="H304" s="13" t="str">
        <f>IF(G304="","",IFERROR(VLOOKUP(G304,PROFESSORES!A:B,2,FALSE),""))</f>
        <v/>
      </c>
      <c r="I304" s="12"/>
      <c r="J304" s="12"/>
      <c r="K304" s="13" t="str">
        <f>IF(OR(G304="",C304="",E304="",F304="",I304=""),"",IF(AND((COUNTIFS(DISPONIBILIDADE!A:A,G304,DISPONIBILIDADE!C:C,C304,DISPONIBILIDADE!D:D,"&lt;="&amp;E304,DISPONIBILIDADE!E:E,"&gt;="&amp;F304,DISPONIBILIDADE!F:F,I304,DISPONIBILIDADE!G:G,"Sim")+COUNTIFS(DISPONIBILIDADE!A:A,G304,DISPONIBILIDADE!C:C,C304,DISPONIBILIDADE!D:D,"&lt;="&amp;E304,DISPONIBILIDADE!E:E,"&gt;="&amp;F304,DISPONIBILIDADE!F:F,"Ambas",DISPONIBILIDADE!G:G,"Sim"))&gt;0,COUNTIFS($G$3:$G$502,G304,$B$3:$B$502,B304,$E$3:$E$502,"&lt;"&amp;F304,$F$3:$F$502,"&gt;"&amp;E304,$A$3:$A$502,"&lt;&gt;"&amp;A304)=0),"Sim","Não"))</f>
        <v/>
      </c>
      <c r="L304" s="13" t="str">
        <f>IF(OR(G304="",D304=""),"",IF(COUNTIFS('RESTRIÇÕES'!A:A,G304,'RESTRIÇÕES'!C:C,D304,'RESTRIÇÕES'!F:F,"Sim")&gt;0,"Com restrição","Sem restrição"))</f>
        <v/>
      </c>
      <c r="M304" s="13" t="str">
        <f t="shared" si="2"/>
        <v/>
      </c>
    </row>
    <row r="305" ht="15.75" customHeight="1">
      <c r="A305" s="11" t="str">
        <f t="shared" si="3"/>
        <v/>
      </c>
      <c r="B305" s="28"/>
      <c r="C305" s="11" t="str">
        <f t="shared" si="4"/>
        <v/>
      </c>
      <c r="D305" s="10"/>
      <c r="E305" s="19"/>
      <c r="F305" s="19"/>
      <c r="G305" s="10"/>
      <c r="H305" s="11" t="str">
        <f>IF(G305="","",IFERROR(VLOOKUP(G305,PROFESSORES!A:B,2,FALSE),""))</f>
        <v/>
      </c>
      <c r="I305" s="10"/>
      <c r="J305" s="10"/>
      <c r="K305" s="11" t="str">
        <f>IF(OR(G305="",C305="",E305="",F305="",I305=""),"",IF(AND((COUNTIFS(DISPONIBILIDADE!A:A,G305,DISPONIBILIDADE!C:C,C305,DISPONIBILIDADE!D:D,"&lt;="&amp;E305,DISPONIBILIDADE!E:E,"&gt;="&amp;F305,DISPONIBILIDADE!F:F,I305,DISPONIBILIDADE!G:G,"Sim")+COUNTIFS(DISPONIBILIDADE!A:A,G305,DISPONIBILIDADE!C:C,C305,DISPONIBILIDADE!D:D,"&lt;="&amp;E305,DISPONIBILIDADE!E:E,"&gt;="&amp;F305,DISPONIBILIDADE!F:F,"Ambas",DISPONIBILIDADE!G:G,"Sim"))&gt;0,COUNTIFS($G$3:$G$502,G305,$B$3:$B$502,B305,$E$3:$E$502,"&lt;"&amp;F305,$F$3:$F$502,"&gt;"&amp;E305,$A$3:$A$502,"&lt;&gt;"&amp;A305)=0),"Sim","Não"))</f>
        <v/>
      </c>
      <c r="L305" s="11" t="str">
        <f>IF(OR(G305="",D305=""),"",IF(COUNTIFS('RESTRIÇÕES'!A:A,G305,'RESTRIÇÕES'!C:C,D305,'RESTRIÇÕES'!F:F,"Sim")&gt;0,"Com restrição","Sem restrição"))</f>
        <v/>
      </c>
      <c r="M305" s="11" t="str">
        <f t="shared" si="2"/>
        <v/>
      </c>
    </row>
    <row r="306" ht="15.75" customHeight="1">
      <c r="A306" s="13" t="str">
        <f t="shared" si="3"/>
        <v/>
      </c>
      <c r="B306" s="27"/>
      <c r="C306" s="13" t="str">
        <f t="shared" si="4"/>
        <v/>
      </c>
      <c r="D306" s="12"/>
      <c r="E306" s="21"/>
      <c r="F306" s="21"/>
      <c r="G306" s="12"/>
      <c r="H306" s="13" t="str">
        <f>IF(G306="","",IFERROR(VLOOKUP(G306,PROFESSORES!A:B,2,FALSE),""))</f>
        <v/>
      </c>
      <c r="I306" s="12"/>
      <c r="J306" s="12"/>
      <c r="K306" s="13" t="str">
        <f>IF(OR(G306="",C306="",E306="",F306="",I306=""),"",IF(AND((COUNTIFS(DISPONIBILIDADE!A:A,G306,DISPONIBILIDADE!C:C,C306,DISPONIBILIDADE!D:D,"&lt;="&amp;E306,DISPONIBILIDADE!E:E,"&gt;="&amp;F306,DISPONIBILIDADE!F:F,I306,DISPONIBILIDADE!G:G,"Sim")+COUNTIFS(DISPONIBILIDADE!A:A,G306,DISPONIBILIDADE!C:C,C306,DISPONIBILIDADE!D:D,"&lt;="&amp;E306,DISPONIBILIDADE!E:E,"&gt;="&amp;F306,DISPONIBILIDADE!F:F,"Ambas",DISPONIBILIDADE!G:G,"Sim"))&gt;0,COUNTIFS($G$3:$G$502,G306,$B$3:$B$502,B306,$E$3:$E$502,"&lt;"&amp;F306,$F$3:$F$502,"&gt;"&amp;E306,$A$3:$A$502,"&lt;&gt;"&amp;A306)=0),"Sim","Não"))</f>
        <v/>
      </c>
      <c r="L306" s="13" t="str">
        <f>IF(OR(G306="",D306=""),"",IF(COUNTIFS('RESTRIÇÕES'!A:A,G306,'RESTRIÇÕES'!C:C,D306,'RESTRIÇÕES'!F:F,"Sim")&gt;0,"Com restrição","Sem restrição"))</f>
        <v/>
      </c>
      <c r="M306" s="13" t="str">
        <f t="shared" si="2"/>
        <v/>
      </c>
    </row>
    <row r="307" ht="15.75" customHeight="1">
      <c r="A307" s="11" t="str">
        <f t="shared" si="3"/>
        <v/>
      </c>
      <c r="B307" s="28"/>
      <c r="C307" s="11" t="str">
        <f t="shared" si="4"/>
        <v/>
      </c>
      <c r="D307" s="10"/>
      <c r="E307" s="19"/>
      <c r="F307" s="19"/>
      <c r="G307" s="10"/>
      <c r="H307" s="11" t="str">
        <f>IF(G307="","",IFERROR(VLOOKUP(G307,PROFESSORES!A:B,2,FALSE),""))</f>
        <v/>
      </c>
      <c r="I307" s="10"/>
      <c r="J307" s="10"/>
      <c r="K307" s="11" t="str">
        <f>IF(OR(G307="",C307="",E307="",F307="",I307=""),"",IF(AND((COUNTIFS(DISPONIBILIDADE!A:A,G307,DISPONIBILIDADE!C:C,C307,DISPONIBILIDADE!D:D,"&lt;="&amp;E307,DISPONIBILIDADE!E:E,"&gt;="&amp;F307,DISPONIBILIDADE!F:F,I307,DISPONIBILIDADE!G:G,"Sim")+COUNTIFS(DISPONIBILIDADE!A:A,G307,DISPONIBILIDADE!C:C,C307,DISPONIBILIDADE!D:D,"&lt;="&amp;E307,DISPONIBILIDADE!E:E,"&gt;="&amp;F307,DISPONIBILIDADE!F:F,"Ambas",DISPONIBILIDADE!G:G,"Sim"))&gt;0,COUNTIFS($G$3:$G$502,G307,$B$3:$B$502,B307,$E$3:$E$502,"&lt;"&amp;F307,$F$3:$F$502,"&gt;"&amp;E307,$A$3:$A$502,"&lt;&gt;"&amp;A307)=0),"Sim","Não"))</f>
        <v/>
      </c>
      <c r="L307" s="11" t="str">
        <f>IF(OR(G307="",D307=""),"",IF(COUNTIFS('RESTRIÇÕES'!A:A,G307,'RESTRIÇÕES'!C:C,D307,'RESTRIÇÕES'!F:F,"Sim")&gt;0,"Com restrição","Sem restrição"))</f>
        <v/>
      </c>
      <c r="M307" s="11" t="str">
        <f t="shared" si="2"/>
        <v/>
      </c>
    </row>
    <row r="308" ht="15.75" customHeight="1">
      <c r="A308" s="13" t="str">
        <f t="shared" si="3"/>
        <v/>
      </c>
      <c r="B308" s="27"/>
      <c r="C308" s="13" t="str">
        <f t="shared" si="4"/>
        <v/>
      </c>
      <c r="D308" s="12"/>
      <c r="E308" s="21"/>
      <c r="F308" s="21"/>
      <c r="G308" s="12"/>
      <c r="H308" s="13" t="str">
        <f>IF(G308="","",IFERROR(VLOOKUP(G308,PROFESSORES!A:B,2,FALSE),""))</f>
        <v/>
      </c>
      <c r="I308" s="12"/>
      <c r="J308" s="12"/>
      <c r="K308" s="13" t="str">
        <f>IF(OR(G308="",C308="",E308="",F308="",I308=""),"",IF(AND((COUNTIFS(DISPONIBILIDADE!A:A,G308,DISPONIBILIDADE!C:C,C308,DISPONIBILIDADE!D:D,"&lt;="&amp;E308,DISPONIBILIDADE!E:E,"&gt;="&amp;F308,DISPONIBILIDADE!F:F,I308,DISPONIBILIDADE!G:G,"Sim")+COUNTIFS(DISPONIBILIDADE!A:A,G308,DISPONIBILIDADE!C:C,C308,DISPONIBILIDADE!D:D,"&lt;="&amp;E308,DISPONIBILIDADE!E:E,"&gt;="&amp;F308,DISPONIBILIDADE!F:F,"Ambas",DISPONIBILIDADE!G:G,"Sim"))&gt;0,COUNTIFS($G$3:$G$502,G308,$B$3:$B$502,B308,$E$3:$E$502,"&lt;"&amp;F308,$F$3:$F$502,"&gt;"&amp;E308,$A$3:$A$502,"&lt;&gt;"&amp;A308)=0),"Sim","Não"))</f>
        <v/>
      </c>
      <c r="L308" s="13" t="str">
        <f>IF(OR(G308="",D308=""),"",IF(COUNTIFS('RESTRIÇÕES'!A:A,G308,'RESTRIÇÕES'!C:C,D308,'RESTRIÇÕES'!F:F,"Sim")&gt;0,"Com restrição","Sem restrição"))</f>
        <v/>
      </c>
      <c r="M308" s="13" t="str">
        <f t="shared" si="2"/>
        <v/>
      </c>
    </row>
    <row r="309" ht="15.75" customHeight="1">
      <c r="A309" s="11" t="str">
        <f t="shared" si="3"/>
        <v/>
      </c>
      <c r="B309" s="28"/>
      <c r="C309" s="11" t="str">
        <f t="shared" si="4"/>
        <v/>
      </c>
      <c r="D309" s="10"/>
      <c r="E309" s="19"/>
      <c r="F309" s="19"/>
      <c r="G309" s="10"/>
      <c r="H309" s="11" t="str">
        <f>IF(G309="","",IFERROR(VLOOKUP(G309,PROFESSORES!A:B,2,FALSE),""))</f>
        <v/>
      </c>
      <c r="I309" s="10"/>
      <c r="J309" s="10"/>
      <c r="K309" s="11" t="str">
        <f>IF(OR(G309="",C309="",E309="",F309="",I309=""),"",IF(AND((COUNTIFS(DISPONIBILIDADE!A:A,G309,DISPONIBILIDADE!C:C,C309,DISPONIBILIDADE!D:D,"&lt;="&amp;E309,DISPONIBILIDADE!E:E,"&gt;="&amp;F309,DISPONIBILIDADE!F:F,I309,DISPONIBILIDADE!G:G,"Sim")+COUNTIFS(DISPONIBILIDADE!A:A,G309,DISPONIBILIDADE!C:C,C309,DISPONIBILIDADE!D:D,"&lt;="&amp;E309,DISPONIBILIDADE!E:E,"&gt;="&amp;F309,DISPONIBILIDADE!F:F,"Ambas",DISPONIBILIDADE!G:G,"Sim"))&gt;0,COUNTIFS($G$3:$G$502,G309,$B$3:$B$502,B309,$E$3:$E$502,"&lt;"&amp;F309,$F$3:$F$502,"&gt;"&amp;E309,$A$3:$A$502,"&lt;&gt;"&amp;A309)=0),"Sim","Não"))</f>
        <v/>
      </c>
      <c r="L309" s="11" t="str">
        <f>IF(OR(G309="",D309=""),"",IF(COUNTIFS('RESTRIÇÕES'!A:A,G309,'RESTRIÇÕES'!C:C,D309,'RESTRIÇÕES'!F:F,"Sim")&gt;0,"Com restrição","Sem restrição"))</f>
        <v/>
      </c>
      <c r="M309" s="11" t="str">
        <f t="shared" si="2"/>
        <v/>
      </c>
    </row>
    <row r="310" ht="15.75" customHeight="1">
      <c r="A310" s="13" t="str">
        <f t="shared" si="3"/>
        <v/>
      </c>
      <c r="B310" s="27"/>
      <c r="C310" s="13" t="str">
        <f t="shared" si="4"/>
        <v/>
      </c>
      <c r="D310" s="12"/>
      <c r="E310" s="21"/>
      <c r="F310" s="21"/>
      <c r="G310" s="12"/>
      <c r="H310" s="13" t="str">
        <f>IF(G310="","",IFERROR(VLOOKUP(G310,PROFESSORES!A:B,2,FALSE),""))</f>
        <v/>
      </c>
      <c r="I310" s="12"/>
      <c r="J310" s="12"/>
      <c r="K310" s="13" t="str">
        <f>IF(OR(G310="",C310="",E310="",F310="",I310=""),"",IF(AND((COUNTIFS(DISPONIBILIDADE!A:A,G310,DISPONIBILIDADE!C:C,C310,DISPONIBILIDADE!D:D,"&lt;="&amp;E310,DISPONIBILIDADE!E:E,"&gt;="&amp;F310,DISPONIBILIDADE!F:F,I310,DISPONIBILIDADE!G:G,"Sim")+COUNTIFS(DISPONIBILIDADE!A:A,G310,DISPONIBILIDADE!C:C,C310,DISPONIBILIDADE!D:D,"&lt;="&amp;E310,DISPONIBILIDADE!E:E,"&gt;="&amp;F310,DISPONIBILIDADE!F:F,"Ambas",DISPONIBILIDADE!G:G,"Sim"))&gt;0,COUNTIFS($G$3:$G$502,G310,$B$3:$B$502,B310,$E$3:$E$502,"&lt;"&amp;F310,$F$3:$F$502,"&gt;"&amp;E310,$A$3:$A$502,"&lt;&gt;"&amp;A310)=0),"Sim","Não"))</f>
        <v/>
      </c>
      <c r="L310" s="13" t="str">
        <f>IF(OR(G310="",D310=""),"",IF(COUNTIFS('RESTRIÇÕES'!A:A,G310,'RESTRIÇÕES'!C:C,D310,'RESTRIÇÕES'!F:F,"Sim")&gt;0,"Com restrição","Sem restrição"))</f>
        <v/>
      </c>
      <c r="M310" s="13" t="str">
        <f t="shared" si="2"/>
        <v/>
      </c>
    </row>
    <row r="311" ht="15.75" customHeight="1">
      <c r="A311" s="11" t="str">
        <f t="shared" si="3"/>
        <v/>
      </c>
      <c r="B311" s="28"/>
      <c r="C311" s="11" t="str">
        <f t="shared" si="4"/>
        <v/>
      </c>
      <c r="D311" s="10"/>
      <c r="E311" s="19"/>
      <c r="F311" s="19"/>
      <c r="G311" s="10"/>
      <c r="H311" s="11" t="str">
        <f>IF(G311="","",IFERROR(VLOOKUP(G311,PROFESSORES!A:B,2,FALSE),""))</f>
        <v/>
      </c>
      <c r="I311" s="10"/>
      <c r="J311" s="10"/>
      <c r="K311" s="11" t="str">
        <f>IF(OR(G311="",C311="",E311="",F311="",I311=""),"",IF(AND((COUNTIFS(DISPONIBILIDADE!A:A,G311,DISPONIBILIDADE!C:C,C311,DISPONIBILIDADE!D:D,"&lt;="&amp;E311,DISPONIBILIDADE!E:E,"&gt;="&amp;F311,DISPONIBILIDADE!F:F,I311,DISPONIBILIDADE!G:G,"Sim")+COUNTIFS(DISPONIBILIDADE!A:A,G311,DISPONIBILIDADE!C:C,C311,DISPONIBILIDADE!D:D,"&lt;="&amp;E311,DISPONIBILIDADE!E:E,"&gt;="&amp;F311,DISPONIBILIDADE!F:F,"Ambas",DISPONIBILIDADE!G:G,"Sim"))&gt;0,COUNTIFS($G$3:$G$502,G311,$B$3:$B$502,B311,$E$3:$E$502,"&lt;"&amp;F311,$F$3:$F$502,"&gt;"&amp;E311,$A$3:$A$502,"&lt;&gt;"&amp;A311)=0),"Sim","Não"))</f>
        <v/>
      </c>
      <c r="L311" s="11" t="str">
        <f>IF(OR(G311="",D311=""),"",IF(COUNTIFS('RESTRIÇÕES'!A:A,G311,'RESTRIÇÕES'!C:C,D311,'RESTRIÇÕES'!F:F,"Sim")&gt;0,"Com restrição","Sem restrição"))</f>
        <v/>
      </c>
      <c r="M311" s="11" t="str">
        <f t="shared" si="2"/>
        <v/>
      </c>
    </row>
    <row r="312" ht="15.75" customHeight="1">
      <c r="A312" s="13" t="str">
        <f t="shared" si="3"/>
        <v/>
      </c>
      <c r="B312" s="27"/>
      <c r="C312" s="13" t="str">
        <f t="shared" si="4"/>
        <v/>
      </c>
      <c r="D312" s="12"/>
      <c r="E312" s="21"/>
      <c r="F312" s="21"/>
      <c r="G312" s="12"/>
      <c r="H312" s="13" t="str">
        <f>IF(G312="","",IFERROR(VLOOKUP(G312,PROFESSORES!A:B,2,FALSE),""))</f>
        <v/>
      </c>
      <c r="I312" s="12"/>
      <c r="J312" s="12"/>
      <c r="K312" s="13" t="str">
        <f>IF(OR(G312="",C312="",E312="",F312="",I312=""),"",IF(AND((COUNTIFS(DISPONIBILIDADE!A:A,G312,DISPONIBILIDADE!C:C,C312,DISPONIBILIDADE!D:D,"&lt;="&amp;E312,DISPONIBILIDADE!E:E,"&gt;="&amp;F312,DISPONIBILIDADE!F:F,I312,DISPONIBILIDADE!G:G,"Sim")+COUNTIFS(DISPONIBILIDADE!A:A,G312,DISPONIBILIDADE!C:C,C312,DISPONIBILIDADE!D:D,"&lt;="&amp;E312,DISPONIBILIDADE!E:E,"&gt;="&amp;F312,DISPONIBILIDADE!F:F,"Ambas",DISPONIBILIDADE!G:G,"Sim"))&gt;0,COUNTIFS($G$3:$G$502,G312,$B$3:$B$502,B312,$E$3:$E$502,"&lt;"&amp;F312,$F$3:$F$502,"&gt;"&amp;E312,$A$3:$A$502,"&lt;&gt;"&amp;A312)=0),"Sim","Não"))</f>
        <v/>
      </c>
      <c r="L312" s="13" t="str">
        <f>IF(OR(G312="",D312=""),"",IF(COUNTIFS('RESTRIÇÕES'!A:A,G312,'RESTRIÇÕES'!C:C,D312,'RESTRIÇÕES'!F:F,"Sim")&gt;0,"Com restrição","Sem restrição"))</f>
        <v/>
      </c>
      <c r="M312" s="13" t="str">
        <f t="shared" si="2"/>
        <v/>
      </c>
    </row>
    <row r="313" ht="15.75" customHeight="1">
      <c r="A313" s="11" t="str">
        <f t="shared" si="3"/>
        <v/>
      </c>
      <c r="B313" s="28"/>
      <c r="C313" s="11" t="str">
        <f t="shared" si="4"/>
        <v/>
      </c>
      <c r="D313" s="10"/>
      <c r="E313" s="19"/>
      <c r="F313" s="19"/>
      <c r="G313" s="10"/>
      <c r="H313" s="11" t="str">
        <f>IF(G313="","",IFERROR(VLOOKUP(G313,PROFESSORES!A:B,2,FALSE),""))</f>
        <v/>
      </c>
      <c r="I313" s="10"/>
      <c r="J313" s="10"/>
      <c r="K313" s="11" t="str">
        <f>IF(OR(G313="",C313="",E313="",F313="",I313=""),"",IF(AND((COUNTIFS(DISPONIBILIDADE!A:A,G313,DISPONIBILIDADE!C:C,C313,DISPONIBILIDADE!D:D,"&lt;="&amp;E313,DISPONIBILIDADE!E:E,"&gt;="&amp;F313,DISPONIBILIDADE!F:F,I313,DISPONIBILIDADE!G:G,"Sim")+COUNTIFS(DISPONIBILIDADE!A:A,G313,DISPONIBILIDADE!C:C,C313,DISPONIBILIDADE!D:D,"&lt;="&amp;E313,DISPONIBILIDADE!E:E,"&gt;="&amp;F313,DISPONIBILIDADE!F:F,"Ambas",DISPONIBILIDADE!G:G,"Sim"))&gt;0,COUNTIFS($G$3:$G$502,G313,$B$3:$B$502,B313,$E$3:$E$502,"&lt;"&amp;F313,$F$3:$F$502,"&gt;"&amp;E313,$A$3:$A$502,"&lt;&gt;"&amp;A313)=0),"Sim","Não"))</f>
        <v/>
      </c>
      <c r="L313" s="11" t="str">
        <f>IF(OR(G313="",D313=""),"",IF(COUNTIFS('RESTRIÇÕES'!A:A,G313,'RESTRIÇÕES'!C:C,D313,'RESTRIÇÕES'!F:F,"Sim")&gt;0,"Com restrição","Sem restrição"))</f>
        <v/>
      </c>
      <c r="M313" s="11" t="str">
        <f t="shared" si="2"/>
        <v/>
      </c>
    </row>
    <row r="314" ht="15.75" customHeight="1">
      <c r="A314" s="13" t="str">
        <f t="shared" si="3"/>
        <v/>
      </c>
      <c r="B314" s="27"/>
      <c r="C314" s="13" t="str">
        <f t="shared" si="4"/>
        <v/>
      </c>
      <c r="D314" s="12"/>
      <c r="E314" s="21"/>
      <c r="F314" s="21"/>
      <c r="G314" s="12"/>
      <c r="H314" s="13" t="str">
        <f>IF(G314="","",IFERROR(VLOOKUP(G314,PROFESSORES!A:B,2,FALSE),""))</f>
        <v/>
      </c>
      <c r="I314" s="12"/>
      <c r="J314" s="12"/>
      <c r="K314" s="13" t="str">
        <f>IF(OR(G314="",C314="",E314="",F314="",I314=""),"",IF(AND((COUNTIFS(DISPONIBILIDADE!A:A,G314,DISPONIBILIDADE!C:C,C314,DISPONIBILIDADE!D:D,"&lt;="&amp;E314,DISPONIBILIDADE!E:E,"&gt;="&amp;F314,DISPONIBILIDADE!F:F,I314,DISPONIBILIDADE!G:G,"Sim")+COUNTIFS(DISPONIBILIDADE!A:A,G314,DISPONIBILIDADE!C:C,C314,DISPONIBILIDADE!D:D,"&lt;="&amp;E314,DISPONIBILIDADE!E:E,"&gt;="&amp;F314,DISPONIBILIDADE!F:F,"Ambas",DISPONIBILIDADE!G:G,"Sim"))&gt;0,COUNTIFS($G$3:$G$502,G314,$B$3:$B$502,B314,$E$3:$E$502,"&lt;"&amp;F314,$F$3:$F$502,"&gt;"&amp;E314,$A$3:$A$502,"&lt;&gt;"&amp;A314)=0),"Sim","Não"))</f>
        <v/>
      </c>
      <c r="L314" s="13" t="str">
        <f>IF(OR(G314="",D314=""),"",IF(COUNTIFS('RESTRIÇÕES'!A:A,G314,'RESTRIÇÕES'!C:C,D314,'RESTRIÇÕES'!F:F,"Sim")&gt;0,"Com restrição","Sem restrição"))</f>
        <v/>
      </c>
      <c r="M314" s="13" t="str">
        <f t="shared" si="2"/>
        <v/>
      </c>
    </row>
    <row r="315" ht="15.75" customHeight="1">
      <c r="A315" s="11" t="str">
        <f t="shared" si="3"/>
        <v/>
      </c>
      <c r="B315" s="28"/>
      <c r="C315" s="11" t="str">
        <f t="shared" si="4"/>
        <v/>
      </c>
      <c r="D315" s="10"/>
      <c r="E315" s="19"/>
      <c r="F315" s="19"/>
      <c r="G315" s="10"/>
      <c r="H315" s="11" t="str">
        <f>IF(G315="","",IFERROR(VLOOKUP(G315,PROFESSORES!A:B,2,FALSE),""))</f>
        <v/>
      </c>
      <c r="I315" s="10"/>
      <c r="J315" s="10"/>
      <c r="K315" s="11" t="str">
        <f>IF(OR(G315="",C315="",E315="",F315="",I315=""),"",IF(AND((COUNTIFS(DISPONIBILIDADE!A:A,G315,DISPONIBILIDADE!C:C,C315,DISPONIBILIDADE!D:D,"&lt;="&amp;E315,DISPONIBILIDADE!E:E,"&gt;="&amp;F315,DISPONIBILIDADE!F:F,I315,DISPONIBILIDADE!G:G,"Sim")+COUNTIFS(DISPONIBILIDADE!A:A,G315,DISPONIBILIDADE!C:C,C315,DISPONIBILIDADE!D:D,"&lt;="&amp;E315,DISPONIBILIDADE!E:E,"&gt;="&amp;F315,DISPONIBILIDADE!F:F,"Ambas",DISPONIBILIDADE!G:G,"Sim"))&gt;0,COUNTIFS($G$3:$G$502,G315,$B$3:$B$502,B315,$E$3:$E$502,"&lt;"&amp;F315,$F$3:$F$502,"&gt;"&amp;E315,$A$3:$A$502,"&lt;&gt;"&amp;A315)=0),"Sim","Não"))</f>
        <v/>
      </c>
      <c r="L315" s="11" t="str">
        <f>IF(OR(G315="",D315=""),"",IF(COUNTIFS('RESTRIÇÕES'!A:A,G315,'RESTRIÇÕES'!C:C,D315,'RESTRIÇÕES'!F:F,"Sim")&gt;0,"Com restrição","Sem restrição"))</f>
        <v/>
      </c>
      <c r="M315" s="11" t="str">
        <f t="shared" si="2"/>
        <v/>
      </c>
    </row>
    <row r="316" ht="15.75" customHeight="1">
      <c r="A316" s="13" t="str">
        <f t="shared" si="3"/>
        <v/>
      </c>
      <c r="B316" s="27"/>
      <c r="C316" s="13" t="str">
        <f t="shared" si="4"/>
        <v/>
      </c>
      <c r="D316" s="12"/>
      <c r="E316" s="21"/>
      <c r="F316" s="21"/>
      <c r="G316" s="12"/>
      <c r="H316" s="13" t="str">
        <f>IF(G316="","",IFERROR(VLOOKUP(G316,PROFESSORES!A:B,2,FALSE),""))</f>
        <v/>
      </c>
      <c r="I316" s="12"/>
      <c r="J316" s="12"/>
      <c r="K316" s="13" t="str">
        <f>IF(OR(G316="",C316="",E316="",F316="",I316=""),"",IF(AND((COUNTIFS(DISPONIBILIDADE!A:A,G316,DISPONIBILIDADE!C:C,C316,DISPONIBILIDADE!D:D,"&lt;="&amp;E316,DISPONIBILIDADE!E:E,"&gt;="&amp;F316,DISPONIBILIDADE!F:F,I316,DISPONIBILIDADE!G:G,"Sim")+COUNTIFS(DISPONIBILIDADE!A:A,G316,DISPONIBILIDADE!C:C,C316,DISPONIBILIDADE!D:D,"&lt;="&amp;E316,DISPONIBILIDADE!E:E,"&gt;="&amp;F316,DISPONIBILIDADE!F:F,"Ambas",DISPONIBILIDADE!G:G,"Sim"))&gt;0,COUNTIFS($G$3:$G$502,G316,$B$3:$B$502,B316,$E$3:$E$502,"&lt;"&amp;F316,$F$3:$F$502,"&gt;"&amp;E316,$A$3:$A$502,"&lt;&gt;"&amp;A316)=0),"Sim","Não"))</f>
        <v/>
      </c>
      <c r="L316" s="13" t="str">
        <f>IF(OR(G316="",D316=""),"",IF(COUNTIFS('RESTRIÇÕES'!A:A,G316,'RESTRIÇÕES'!C:C,D316,'RESTRIÇÕES'!F:F,"Sim")&gt;0,"Com restrição","Sem restrição"))</f>
        <v/>
      </c>
      <c r="M316" s="13" t="str">
        <f t="shared" si="2"/>
        <v/>
      </c>
    </row>
    <row r="317" ht="15.75" customHeight="1">
      <c r="A317" s="11" t="str">
        <f t="shared" si="3"/>
        <v/>
      </c>
      <c r="B317" s="28"/>
      <c r="C317" s="11" t="str">
        <f t="shared" si="4"/>
        <v/>
      </c>
      <c r="D317" s="10"/>
      <c r="E317" s="19"/>
      <c r="F317" s="19"/>
      <c r="G317" s="10"/>
      <c r="H317" s="11" t="str">
        <f>IF(G317="","",IFERROR(VLOOKUP(G317,PROFESSORES!A:B,2,FALSE),""))</f>
        <v/>
      </c>
      <c r="I317" s="10"/>
      <c r="J317" s="10"/>
      <c r="K317" s="11" t="str">
        <f>IF(OR(G317="",C317="",E317="",F317="",I317=""),"",IF(AND((COUNTIFS(DISPONIBILIDADE!A:A,G317,DISPONIBILIDADE!C:C,C317,DISPONIBILIDADE!D:D,"&lt;="&amp;E317,DISPONIBILIDADE!E:E,"&gt;="&amp;F317,DISPONIBILIDADE!F:F,I317,DISPONIBILIDADE!G:G,"Sim")+COUNTIFS(DISPONIBILIDADE!A:A,G317,DISPONIBILIDADE!C:C,C317,DISPONIBILIDADE!D:D,"&lt;="&amp;E317,DISPONIBILIDADE!E:E,"&gt;="&amp;F317,DISPONIBILIDADE!F:F,"Ambas",DISPONIBILIDADE!G:G,"Sim"))&gt;0,COUNTIFS($G$3:$G$502,G317,$B$3:$B$502,B317,$E$3:$E$502,"&lt;"&amp;F317,$F$3:$F$502,"&gt;"&amp;E317,$A$3:$A$502,"&lt;&gt;"&amp;A317)=0),"Sim","Não"))</f>
        <v/>
      </c>
      <c r="L317" s="11" t="str">
        <f>IF(OR(G317="",D317=""),"",IF(COUNTIFS('RESTRIÇÕES'!A:A,G317,'RESTRIÇÕES'!C:C,D317,'RESTRIÇÕES'!F:F,"Sim")&gt;0,"Com restrição","Sem restrição"))</f>
        <v/>
      </c>
      <c r="M317" s="11" t="str">
        <f t="shared" si="2"/>
        <v/>
      </c>
    </row>
    <row r="318" ht="15.75" customHeight="1">
      <c r="A318" s="13" t="str">
        <f t="shared" si="3"/>
        <v/>
      </c>
      <c r="B318" s="27"/>
      <c r="C318" s="13" t="str">
        <f t="shared" si="4"/>
        <v/>
      </c>
      <c r="D318" s="12"/>
      <c r="E318" s="21"/>
      <c r="F318" s="21"/>
      <c r="G318" s="12"/>
      <c r="H318" s="13" t="str">
        <f>IF(G318="","",IFERROR(VLOOKUP(G318,PROFESSORES!A:B,2,FALSE),""))</f>
        <v/>
      </c>
      <c r="I318" s="12"/>
      <c r="J318" s="12"/>
      <c r="K318" s="13" t="str">
        <f>IF(OR(G318="",C318="",E318="",F318="",I318=""),"",IF(AND((COUNTIFS(DISPONIBILIDADE!A:A,G318,DISPONIBILIDADE!C:C,C318,DISPONIBILIDADE!D:D,"&lt;="&amp;E318,DISPONIBILIDADE!E:E,"&gt;="&amp;F318,DISPONIBILIDADE!F:F,I318,DISPONIBILIDADE!G:G,"Sim")+COUNTIFS(DISPONIBILIDADE!A:A,G318,DISPONIBILIDADE!C:C,C318,DISPONIBILIDADE!D:D,"&lt;="&amp;E318,DISPONIBILIDADE!E:E,"&gt;="&amp;F318,DISPONIBILIDADE!F:F,"Ambas",DISPONIBILIDADE!G:G,"Sim"))&gt;0,COUNTIFS($G$3:$G$502,G318,$B$3:$B$502,B318,$E$3:$E$502,"&lt;"&amp;F318,$F$3:$F$502,"&gt;"&amp;E318,$A$3:$A$502,"&lt;&gt;"&amp;A318)=0),"Sim","Não"))</f>
        <v/>
      </c>
      <c r="L318" s="13" t="str">
        <f>IF(OR(G318="",D318=""),"",IF(COUNTIFS('RESTRIÇÕES'!A:A,G318,'RESTRIÇÕES'!C:C,D318,'RESTRIÇÕES'!F:F,"Sim")&gt;0,"Com restrição","Sem restrição"))</f>
        <v/>
      </c>
      <c r="M318" s="13" t="str">
        <f t="shared" si="2"/>
        <v/>
      </c>
    </row>
    <row r="319" ht="15.75" customHeight="1">
      <c r="A319" s="11" t="str">
        <f t="shared" si="3"/>
        <v/>
      </c>
      <c r="B319" s="28"/>
      <c r="C319" s="11" t="str">
        <f t="shared" si="4"/>
        <v/>
      </c>
      <c r="D319" s="10"/>
      <c r="E319" s="19"/>
      <c r="F319" s="19"/>
      <c r="G319" s="10"/>
      <c r="H319" s="11" t="str">
        <f>IF(G319="","",IFERROR(VLOOKUP(G319,PROFESSORES!A:B,2,FALSE),""))</f>
        <v/>
      </c>
      <c r="I319" s="10"/>
      <c r="J319" s="10"/>
      <c r="K319" s="11" t="str">
        <f>IF(OR(G319="",C319="",E319="",F319="",I319=""),"",IF(AND((COUNTIFS(DISPONIBILIDADE!A:A,G319,DISPONIBILIDADE!C:C,C319,DISPONIBILIDADE!D:D,"&lt;="&amp;E319,DISPONIBILIDADE!E:E,"&gt;="&amp;F319,DISPONIBILIDADE!F:F,I319,DISPONIBILIDADE!G:G,"Sim")+COUNTIFS(DISPONIBILIDADE!A:A,G319,DISPONIBILIDADE!C:C,C319,DISPONIBILIDADE!D:D,"&lt;="&amp;E319,DISPONIBILIDADE!E:E,"&gt;="&amp;F319,DISPONIBILIDADE!F:F,"Ambas",DISPONIBILIDADE!G:G,"Sim"))&gt;0,COUNTIFS($G$3:$G$502,G319,$B$3:$B$502,B319,$E$3:$E$502,"&lt;"&amp;F319,$F$3:$F$502,"&gt;"&amp;E319,$A$3:$A$502,"&lt;&gt;"&amp;A319)=0),"Sim","Não"))</f>
        <v/>
      </c>
      <c r="L319" s="11" t="str">
        <f>IF(OR(G319="",D319=""),"",IF(COUNTIFS('RESTRIÇÕES'!A:A,G319,'RESTRIÇÕES'!C:C,D319,'RESTRIÇÕES'!F:F,"Sim")&gt;0,"Com restrição","Sem restrição"))</f>
        <v/>
      </c>
      <c r="M319" s="11" t="str">
        <f t="shared" si="2"/>
        <v/>
      </c>
    </row>
    <row r="320" ht="15.75" customHeight="1">
      <c r="A320" s="13" t="str">
        <f t="shared" si="3"/>
        <v/>
      </c>
      <c r="B320" s="27"/>
      <c r="C320" s="13" t="str">
        <f t="shared" si="4"/>
        <v/>
      </c>
      <c r="D320" s="12"/>
      <c r="E320" s="21"/>
      <c r="F320" s="21"/>
      <c r="G320" s="12"/>
      <c r="H320" s="13" t="str">
        <f>IF(G320="","",IFERROR(VLOOKUP(G320,PROFESSORES!A:B,2,FALSE),""))</f>
        <v/>
      </c>
      <c r="I320" s="12"/>
      <c r="J320" s="12"/>
      <c r="K320" s="13" t="str">
        <f>IF(OR(G320="",C320="",E320="",F320="",I320=""),"",IF(AND((COUNTIFS(DISPONIBILIDADE!A:A,G320,DISPONIBILIDADE!C:C,C320,DISPONIBILIDADE!D:D,"&lt;="&amp;E320,DISPONIBILIDADE!E:E,"&gt;="&amp;F320,DISPONIBILIDADE!F:F,I320,DISPONIBILIDADE!G:G,"Sim")+COUNTIFS(DISPONIBILIDADE!A:A,G320,DISPONIBILIDADE!C:C,C320,DISPONIBILIDADE!D:D,"&lt;="&amp;E320,DISPONIBILIDADE!E:E,"&gt;="&amp;F320,DISPONIBILIDADE!F:F,"Ambas",DISPONIBILIDADE!G:G,"Sim"))&gt;0,COUNTIFS($G$3:$G$502,G320,$B$3:$B$502,B320,$E$3:$E$502,"&lt;"&amp;F320,$F$3:$F$502,"&gt;"&amp;E320,$A$3:$A$502,"&lt;&gt;"&amp;A320)=0),"Sim","Não"))</f>
        <v/>
      </c>
      <c r="L320" s="13" t="str">
        <f>IF(OR(G320="",D320=""),"",IF(COUNTIFS('RESTRIÇÕES'!A:A,G320,'RESTRIÇÕES'!C:C,D320,'RESTRIÇÕES'!F:F,"Sim")&gt;0,"Com restrição","Sem restrição"))</f>
        <v/>
      </c>
      <c r="M320" s="13" t="str">
        <f t="shared" si="2"/>
        <v/>
      </c>
    </row>
    <row r="321" ht="15.75" customHeight="1">
      <c r="A321" s="11" t="str">
        <f t="shared" si="3"/>
        <v/>
      </c>
      <c r="B321" s="28"/>
      <c r="C321" s="11" t="str">
        <f t="shared" si="4"/>
        <v/>
      </c>
      <c r="D321" s="10"/>
      <c r="E321" s="19"/>
      <c r="F321" s="19"/>
      <c r="G321" s="10"/>
      <c r="H321" s="11" t="str">
        <f>IF(G321="","",IFERROR(VLOOKUP(G321,PROFESSORES!A:B,2,FALSE),""))</f>
        <v/>
      </c>
      <c r="I321" s="10"/>
      <c r="J321" s="10"/>
      <c r="K321" s="11" t="str">
        <f>IF(OR(G321="",C321="",E321="",F321="",I321=""),"",IF(AND((COUNTIFS(DISPONIBILIDADE!A:A,G321,DISPONIBILIDADE!C:C,C321,DISPONIBILIDADE!D:D,"&lt;="&amp;E321,DISPONIBILIDADE!E:E,"&gt;="&amp;F321,DISPONIBILIDADE!F:F,I321,DISPONIBILIDADE!G:G,"Sim")+COUNTIFS(DISPONIBILIDADE!A:A,G321,DISPONIBILIDADE!C:C,C321,DISPONIBILIDADE!D:D,"&lt;="&amp;E321,DISPONIBILIDADE!E:E,"&gt;="&amp;F321,DISPONIBILIDADE!F:F,"Ambas",DISPONIBILIDADE!G:G,"Sim"))&gt;0,COUNTIFS($G$3:$G$502,G321,$B$3:$B$502,B321,$E$3:$E$502,"&lt;"&amp;F321,$F$3:$F$502,"&gt;"&amp;E321,$A$3:$A$502,"&lt;&gt;"&amp;A321)=0),"Sim","Não"))</f>
        <v/>
      </c>
      <c r="L321" s="11" t="str">
        <f>IF(OR(G321="",D321=""),"",IF(COUNTIFS('RESTRIÇÕES'!A:A,G321,'RESTRIÇÕES'!C:C,D321,'RESTRIÇÕES'!F:F,"Sim")&gt;0,"Com restrição","Sem restrição"))</f>
        <v/>
      </c>
      <c r="M321" s="11" t="str">
        <f t="shared" si="2"/>
        <v/>
      </c>
    </row>
    <row r="322" ht="15.75" customHeight="1">
      <c r="A322" s="13" t="str">
        <f t="shared" si="3"/>
        <v/>
      </c>
      <c r="B322" s="27"/>
      <c r="C322" s="13" t="str">
        <f t="shared" si="4"/>
        <v/>
      </c>
      <c r="D322" s="12"/>
      <c r="E322" s="21"/>
      <c r="F322" s="21"/>
      <c r="G322" s="12"/>
      <c r="H322" s="13" t="str">
        <f>IF(G322="","",IFERROR(VLOOKUP(G322,PROFESSORES!A:B,2,FALSE),""))</f>
        <v/>
      </c>
      <c r="I322" s="12"/>
      <c r="J322" s="12"/>
      <c r="K322" s="13" t="str">
        <f>IF(OR(G322="",C322="",E322="",F322="",I322=""),"",IF(AND((COUNTIFS(DISPONIBILIDADE!A:A,G322,DISPONIBILIDADE!C:C,C322,DISPONIBILIDADE!D:D,"&lt;="&amp;E322,DISPONIBILIDADE!E:E,"&gt;="&amp;F322,DISPONIBILIDADE!F:F,I322,DISPONIBILIDADE!G:G,"Sim")+COUNTIFS(DISPONIBILIDADE!A:A,G322,DISPONIBILIDADE!C:C,C322,DISPONIBILIDADE!D:D,"&lt;="&amp;E322,DISPONIBILIDADE!E:E,"&gt;="&amp;F322,DISPONIBILIDADE!F:F,"Ambas",DISPONIBILIDADE!G:G,"Sim"))&gt;0,COUNTIFS($G$3:$G$502,G322,$B$3:$B$502,B322,$E$3:$E$502,"&lt;"&amp;F322,$F$3:$F$502,"&gt;"&amp;E322,$A$3:$A$502,"&lt;&gt;"&amp;A322)=0),"Sim","Não"))</f>
        <v/>
      </c>
      <c r="L322" s="13" t="str">
        <f>IF(OR(G322="",D322=""),"",IF(COUNTIFS('RESTRIÇÕES'!A:A,G322,'RESTRIÇÕES'!C:C,D322,'RESTRIÇÕES'!F:F,"Sim")&gt;0,"Com restrição","Sem restrição"))</f>
        <v/>
      </c>
      <c r="M322" s="13" t="str">
        <f t="shared" si="2"/>
        <v/>
      </c>
    </row>
    <row r="323" ht="15.75" customHeight="1">
      <c r="A323" s="11" t="str">
        <f t="shared" si="3"/>
        <v/>
      </c>
      <c r="B323" s="28"/>
      <c r="C323" s="11" t="str">
        <f t="shared" si="4"/>
        <v/>
      </c>
      <c r="D323" s="10"/>
      <c r="E323" s="19"/>
      <c r="F323" s="19"/>
      <c r="G323" s="10"/>
      <c r="H323" s="11" t="str">
        <f>IF(G323="","",IFERROR(VLOOKUP(G323,PROFESSORES!A:B,2,FALSE),""))</f>
        <v/>
      </c>
      <c r="I323" s="10"/>
      <c r="J323" s="10"/>
      <c r="K323" s="11" t="str">
        <f>IF(OR(G323="",C323="",E323="",F323="",I323=""),"",IF(AND((COUNTIFS(DISPONIBILIDADE!A:A,G323,DISPONIBILIDADE!C:C,C323,DISPONIBILIDADE!D:D,"&lt;="&amp;E323,DISPONIBILIDADE!E:E,"&gt;="&amp;F323,DISPONIBILIDADE!F:F,I323,DISPONIBILIDADE!G:G,"Sim")+COUNTIFS(DISPONIBILIDADE!A:A,G323,DISPONIBILIDADE!C:C,C323,DISPONIBILIDADE!D:D,"&lt;="&amp;E323,DISPONIBILIDADE!E:E,"&gt;="&amp;F323,DISPONIBILIDADE!F:F,"Ambas",DISPONIBILIDADE!G:G,"Sim"))&gt;0,COUNTIFS($G$3:$G$502,G323,$B$3:$B$502,B323,$E$3:$E$502,"&lt;"&amp;F323,$F$3:$F$502,"&gt;"&amp;E323,$A$3:$A$502,"&lt;&gt;"&amp;A323)=0),"Sim","Não"))</f>
        <v/>
      </c>
      <c r="L323" s="11" t="str">
        <f>IF(OR(G323="",D323=""),"",IF(COUNTIFS('RESTRIÇÕES'!A:A,G323,'RESTRIÇÕES'!C:C,D323,'RESTRIÇÕES'!F:F,"Sim")&gt;0,"Com restrição","Sem restrição"))</f>
        <v/>
      </c>
      <c r="M323" s="11" t="str">
        <f t="shared" si="2"/>
        <v/>
      </c>
    </row>
    <row r="324" ht="15.75" customHeight="1">
      <c r="A324" s="13" t="str">
        <f t="shared" si="3"/>
        <v/>
      </c>
      <c r="B324" s="27"/>
      <c r="C324" s="13" t="str">
        <f t="shared" si="4"/>
        <v/>
      </c>
      <c r="D324" s="12"/>
      <c r="E324" s="21"/>
      <c r="F324" s="21"/>
      <c r="G324" s="12"/>
      <c r="H324" s="13" t="str">
        <f>IF(G324="","",IFERROR(VLOOKUP(G324,PROFESSORES!A:B,2,FALSE),""))</f>
        <v/>
      </c>
      <c r="I324" s="12"/>
      <c r="J324" s="12"/>
      <c r="K324" s="13" t="str">
        <f>IF(OR(G324="",C324="",E324="",F324="",I324=""),"",IF(AND((COUNTIFS(DISPONIBILIDADE!A:A,G324,DISPONIBILIDADE!C:C,C324,DISPONIBILIDADE!D:D,"&lt;="&amp;E324,DISPONIBILIDADE!E:E,"&gt;="&amp;F324,DISPONIBILIDADE!F:F,I324,DISPONIBILIDADE!G:G,"Sim")+COUNTIFS(DISPONIBILIDADE!A:A,G324,DISPONIBILIDADE!C:C,C324,DISPONIBILIDADE!D:D,"&lt;="&amp;E324,DISPONIBILIDADE!E:E,"&gt;="&amp;F324,DISPONIBILIDADE!F:F,"Ambas",DISPONIBILIDADE!G:G,"Sim"))&gt;0,COUNTIFS($G$3:$G$502,G324,$B$3:$B$502,B324,$E$3:$E$502,"&lt;"&amp;F324,$F$3:$F$502,"&gt;"&amp;E324,$A$3:$A$502,"&lt;&gt;"&amp;A324)=0),"Sim","Não"))</f>
        <v/>
      </c>
      <c r="L324" s="13" t="str">
        <f>IF(OR(G324="",D324=""),"",IF(COUNTIFS('RESTRIÇÕES'!A:A,G324,'RESTRIÇÕES'!C:C,D324,'RESTRIÇÕES'!F:F,"Sim")&gt;0,"Com restrição","Sem restrição"))</f>
        <v/>
      </c>
      <c r="M324" s="13" t="str">
        <f t="shared" si="2"/>
        <v/>
      </c>
    </row>
    <row r="325" ht="15.75" customHeight="1">
      <c r="A325" s="11" t="str">
        <f t="shared" si="3"/>
        <v/>
      </c>
      <c r="B325" s="28"/>
      <c r="C325" s="11" t="str">
        <f t="shared" si="4"/>
        <v/>
      </c>
      <c r="D325" s="10"/>
      <c r="E325" s="19"/>
      <c r="F325" s="19"/>
      <c r="G325" s="10"/>
      <c r="H325" s="11" t="str">
        <f>IF(G325="","",IFERROR(VLOOKUP(G325,PROFESSORES!A:B,2,FALSE),""))</f>
        <v/>
      </c>
      <c r="I325" s="10"/>
      <c r="J325" s="10"/>
      <c r="K325" s="11" t="str">
        <f>IF(OR(G325="",C325="",E325="",F325="",I325=""),"",IF(AND((COUNTIFS(DISPONIBILIDADE!A:A,G325,DISPONIBILIDADE!C:C,C325,DISPONIBILIDADE!D:D,"&lt;="&amp;E325,DISPONIBILIDADE!E:E,"&gt;="&amp;F325,DISPONIBILIDADE!F:F,I325,DISPONIBILIDADE!G:G,"Sim")+COUNTIFS(DISPONIBILIDADE!A:A,G325,DISPONIBILIDADE!C:C,C325,DISPONIBILIDADE!D:D,"&lt;="&amp;E325,DISPONIBILIDADE!E:E,"&gt;="&amp;F325,DISPONIBILIDADE!F:F,"Ambas",DISPONIBILIDADE!G:G,"Sim"))&gt;0,COUNTIFS($G$3:$G$502,G325,$B$3:$B$502,B325,$E$3:$E$502,"&lt;"&amp;F325,$F$3:$F$502,"&gt;"&amp;E325,$A$3:$A$502,"&lt;&gt;"&amp;A325)=0),"Sim","Não"))</f>
        <v/>
      </c>
      <c r="L325" s="11" t="str">
        <f>IF(OR(G325="",D325=""),"",IF(COUNTIFS('RESTRIÇÕES'!A:A,G325,'RESTRIÇÕES'!C:C,D325,'RESTRIÇÕES'!F:F,"Sim")&gt;0,"Com restrição","Sem restrição"))</f>
        <v/>
      </c>
      <c r="M325" s="11" t="str">
        <f t="shared" si="2"/>
        <v/>
      </c>
    </row>
    <row r="326" ht="15.75" customHeight="1">
      <c r="A326" s="13" t="str">
        <f t="shared" si="3"/>
        <v/>
      </c>
      <c r="B326" s="27"/>
      <c r="C326" s="13" t="str">
        <f t="shared" si="4"/>
        <v/>
      </c>
      <c r="D326" s="12"/>
      <c r="E326" s="21"/>
      <c r="F326" s="21"/>
      <c r="G326" s="12"/>
      <c r="H326" s="13" t="str">
        <f>IF(G326="","",IFERROR(VLOOKUP(G326,PROFESSORES!A:B,2,FALSE),""))</f>
        <v/>
      </c>
      <c r="I326" s="12"/>
      <c r="J326" s="12"/>
      <c r="K326" s="13" t="str">
        <f>IF(OR(G326="",C326="",E326="",F326="",I326=""),"",IF(AND((COUNTIFS(DISPONIBILIDADE!A:A,G326,DISPONIBILIDADE!C:C,C326,DISPONIBILIDADE!D:D,"&lt;="&amp;E326,DISPONIBILIDADE!E:E,"&gt;="&amp;F326,DISPONIBILIDADE!F:F,I326,DISPONIBILIDADE!G:G,"Sim")+COUNTIFS(DISPONIBILIDADE!A:A,G326,DISPONIBILIDADE!C:C,C326,DISPONIBILIDADE!D:D,"&lt;="&amp;E326,DISPONIBILIDADE!E:E,"&gt;="&amp;F326,DISPONIBILIDADE!F:F,"Ambas",DISPONIBILIDADE!G:G,"Sim"))&gt;0,COUNTIFS($G$3:$G$502,G326,$B$3:$B$502,B326,$E$3:$E$502,"&lt;"&amp;F326,$F$3:$F$502,"&gt;"&amp;E326,$A$3:$A$502,"&lt;&gt;"&amp;A326)=0),"Sim","Não"))</f>
        <v/>
      </c>
      <c r="L326" s="13" t="str">
        <f>IF(OR(G326="",D326=""),"",IF(COUNTIFS('RESTRIÇÕES'!A:A,G326,'RESTRIÇÕES'!C:C,D326,'RESTRIÇÕES'!F:F,"Sim")&gt;0,"Com restrição","Sem restrição"))</f>
        <v/>
      </c>
      <c r="M326" s="13" t="str">
        <f t="shared" si="2"/>
        <v/>
      </c>
    </row>
    <row r="327" ht="15.75" customHeight="1">
      <c r="A327" s="11" t="str">
        <f t="shared" si="3"/>
        <v/>
      </c>
      <c r="B327" s="28"/>
      <c r="C327" s="11" t="str">
        <f t="shared" si="4"/>
        <v/>
      </c>
      <c r="D327" s="10"/>
      <c r="E327" s="19"/>
      <c r="F327" s="19"/>
      <c r="G327" s="10"/>
      <c r="H327" s="11" t="str">
        <f>IF(G327="","",IFERROR(VLOOKUP(G327,PROFESSORES!A:B,2,FALSE),""))</f>
        <v/>
      </c>
      <c r="I327" s="10"/>
      <c r="J327" s="10"/>
      <c r="K327" s="11" t="str">
        <f>IF(OR(G327="",C327="",E327="",F327="",I327=""),"",IF(AND((COUNTIFS(DISPONIBILIDADE!A:A,G327,DISPONIBILIDADE!C:C,C327,DISPONIBILIDADE!D:D,"&lt;="&amp;E327,DISPONIBILIDADE!E:E,"&gt;="&amp;F327,DISPONIBILIDADE!F:F,I327,DISPONIBILIDADE!G:G,"Sim")+COUNTIFS(DISPONIBILIDADE!A:A,G327,DISPONIBILIDADE!C:C,C327,DISPONIBILIDADE!D:D,"&lt;="&amp;E327,DISPONIBILIDADE!E:E,"&gt;="&amp;F327,DISPONIBILIDADE!F:F,"Ambas",DISPONIBILIDADE!G:G,"Sim"))&gt;0,COUNTIFS($G$3:$G$502,G327,$B$3:$B$502,B327,$E$3:$E$502,"&lt;"&amp;F327,$F$3:$F$502,"&gt;"&amp;E327,$A$3:$A$502,"&lt;&gt;"&amp;A327)=0),"Sim","Não"))</f>
        <v/>
      </c>
      <c r="L327" s="11" t="str">
        <f>IF(OR(G327="",D327=""),"",IF(COUNTIFS('RESTRIÇÕES'!A:A,G327,'RESTRIÇÕES'!C:C,D327,'RESTRIÇÕES'!F:F,"Sim")&gt;0,"Com restrição","Sem restrição"))</f>
        <v/>
      </c>
      <c r="M327" s="11" t="str">
        <f t="shared" si="2"/>
        <v/>
      </c>
    </row>
    <row r="328" ht="15.75" customHeight="1">
      <c r="A328" s="13" t="str">
        <f t="shared" si="3"/>
        <v/>
      </c>
      <c r="B328" s="27"/>
      <c r="C328" s="13" t="str">
        <f t="shared" si="4"/>
        <v/>
      </c>
      <c r="D328" s="12"/>
      <c r="E328" s="21"/>
      <c r="F328" s="21"/>
      <c r="G328" s="12"/>
      <c r="H328" s="13" t="str">
        <f>IF(G328="","",IFERROR(VLOOKUP(G328,PROFESSORES!A:B,2,FALSE),""))</f>
        <v/>
      </c>
      <c r="I328" s="12"/>
      <c r="J328" s="12"/>
      <c r="K328" s="13" t="str">
        <f>IF(OR(G328="",C328="",E328="",F328="",I328=""),"",IF(AND((COUNTIFS(DISPONIBILIDADE!A:A,G328,DISPONIBILIDADE!C:C,C328,DISPONIBILIDADE!D:D,"&lt;="&amp;E328,DISPONIBILIDADE!E:E,"&gt;="&amp;F328,DISPONIBILIDADE!F:F,I328,DISPONIBILIDADE!G:G,"Sim")+COUNTIFS(DISPONIBILIDADE!A:A,G328,DISPONIBILIDADE!C:C,C328,DISPONIBILIDADE!D:D,"&lt;="&amp;E328,DISPONIBILIDADE!E:E,"&gt;="&amp;F328,DISPONIBILIDADE!F:F,"Ambas",DISPONIBILIDADE!G:G,"Sim"))&gt;0,COUNTIFS($G$3:$G$502,G328,$B$3:$B$502,B328,$E$3:$E$502,"&lt;"&amp;F328,$F$3:$F$502,"&gt;"&amp;E328,$A$3:$A$502,"&lt;&gt;"&amp;A328)=0),"Sim","Não"))</f>
        <v/>
      </c>
      <c r="L328" s="13" t="str">
        <f>IF(OR(G328="",D328=""),"",IF(COUNTIFS('RESTRIÇÕES'!A:A,G328,'RESTRIÇÕES'!C:C,D328,'RESTRIÇÕES'!F:F,"Sim")&gt;0,"Com restrição","Sem restrição"))</f>
        <v/>
      </c>
      <c r="M328" s="13" t="str">
        <f t="shared" si="2"/>
        <v/>
      </c>
    </row>
    <row r="329" ht="15.75" customHeight="1">
      <c r="A329" s="11" t="str">
        <f t="shared" si="3"/>
        <v/>
      </c>
      <c r="B329" s="28"/>
      <c r="C329" s="11" t="str">
        <f t="shared" si="4"/>
        <v/>
      </c>
      <c r="D329" s="10"/>
      <c r="E329" s="19"/>
      <c r="F329" s="19"/>
      <c r="G329" s="10"/>
      <c r="H329" s="11" t="str">
        <f>IF(G329="","",IFERROR(VLOOKUP(G329,PROFESSORES!A:B,2,FALSE),""))</f>
        <v/>
      </c>
      <c r="I329" s="10"/>
      <c r="J329" s="10"/>
      <c r="K329" s="11" t="str">
        <f>IF(OR(G329="",C329="",E329="",F329="",I329=""),"",IF(AND((COUNTIFS(DISPONIBILIDADE!A:A,G329,DISPONIBILIDADE!C:C,C329,DISPONIBILIDADE!D:D,"&lt;="&amp;E329,DISPONIBILIDADE!E:E,"&gt;="&amp;F329,DISPONIBILIDADE!F:F,I329,DISPONIBILIDADE!G:G,"Sim")+COUNTIFS(DISPONIBILIDADE!A:A,G329,DISPONIBILIDADE!C:C,C329,DISPONIBILIDADE!D:D,"&lt;="&amp;E329,DISPONIBILIDADE!E:E,"&gt;="&amp;F329,DISPONIBILIDADE!F:F,"Ambas",DISPONIBILIDADE!G:G,"Sim"))&gt;0,COUNTIFS($G$3:$G$502,G329,$B$3:$B$502,B329,$E$3:$E$502,"&lt;"&amp;F329,$F$3:$F$502,"&gt;"&amp;E329,$A$3:$A$502,"&lt;&gt;"&amp;A329)=0),"Sim","Não"))</f>
        <v/>
      </c>
      <c r="L329" s="11" t="str">
        <f>IF(OR(G329="",D329=""),"",IF(COUNTIFS('RESTRIÇÕES'!A:A,G329,'RESTRIÇÕES'!C:C,D329,'RESTRIÇÕES'!F:F,"Sim")&gt;0,"Com restrição","Sem restrição"))</f>
        <v/>
      </c>
      <c r="M329" s="11" t="str">
        <f t="shared" si="2"/>
        <v/>
      </c>
    </row>
    <row r="330" ht="15.75" customHeight="1">
      <c r="A330" s="13" t="str">
        <f t="shared" si="3"/>
        <v/>
      </c>
      <c r="B330" s="27"/>
      <c r="C330" s="13" t="str">
        <f t="shared" si="4"/>
        <v/>
      </c>
      <c r="D330" s="12"/>
      <c r="E330" s="21"/>
      <c r="F330" s="21"/>
      <c r="G330" s="12"/>
      <c r="H330" s="13" t="str">
        <f>IF(G330="","",IFERROR(VLOOKUP(G330,PROFESSORES!A:B,2,FALSE),""))</f>
        <v/>
      </c>
      <c r="I330" s="12"/>
      <c r="J330" s="12"/>
      <c r="K330" s="13" t="str">
        <f>IF(OR(G330="",C330="",E330="",F330="",I330=""),"",IF(AND((COUNTIFS(DISPONIBILIDADE!A:A,G330,DISPONIBILIDADE!C:C,C330,DISPONIBILIDADE!D:D,"&lt;="&amp;E330,DISPONIBILIDADE!E:E,"&gt;="&amp;F330,DISPONIBILIDADE!F:F,I330,DISPONIBILIDADE!G:G,"Sim")+COUNTIFS(DISPONIBILIDADE!A:A,G330,DISPONIBILIDADE!C:C,C330,DISPONIBILIDADE!D:D,"&lt;="&amp;E330,DISPONIBILIDADE!E:E,"&gt;="&amp;F330,DISPONIBILIDADE!F:F,"Ambas",DISPONIBILIDADE!G:G,"Sim"))&gt;0,COUNTIFS($G$3:$G$502,G330,$B$3:$B$502,B330,$E$3:$E$502,"&lt;"&amp;F330,$F$3:$F$502,"&gt;"&amp;E330,$A$3:$A$502,"&lt;&gt;"&amp;A330)=0),"Sim","Não"))</f>
        <v/>
      </c>
      <c r="L330" s="13" t="str">
        <f>IF(OR(G330="",D330=""),"",IF(COUNTIFS('RESTRIÇÕES'!A:A,G330,'RESTRIÇÕES'!C:C,D330,'RESTRIÇÕES'!F:F,"Sim")&gt;0,"Com restrição","Sem restrição"))</f>
        <v/>
      </c>
      <c r="M330" s="13" t="str">
        <f t="shared" si="2"/>
        <v/>
      </c>
    </row>
    <row r="331" ht="15.75" customHeight="1">
      <c r="A331" s="11" t="str">
        <f t="shared" si="3"/>
        <v/>
      </c>
      <c r="B331" s="28"/>
      <c r="C331" s="11" t="str">
        <f t="shared" si="4"/>
        <v/>
      </c>
      <c r="D331" s="10"/>
      <c r="E331" s="19"/>
      <c r="F331" s="19"/>
      <c r="G331" s="10"/>
      <c r="H331" s="11" t="str">
        <f>IF(G331="","",IFERROR(VLOOKUP(G331,PROFESSORES!A:B,2,FALSE),""))</f>
        <v/>
      </c>
      <c r="I331" s="10"/>
      <c r="J331" s="10"/>
      <c r="K331" s="11" t="str">
        <f>IF(OR(G331="",C331="",E331="",F331="",I331=""),"",IF(AND((COUNTIFS(DISPONIBILIDADE!A:A,G331,DISPONIBILIDADE!C:C,C331,DISPONIBILIDADE!D:D,"&lt;="&amp;E331,DISPONIBILIDADE!E:E,"&gt;="&amp;F331,DISPONIBILIDADE!F:F,I331,DISPONIBILIDADE!G:G,"Sim")+COUNTIFS(DISPONIBILIDADE!A:A,G331,DISPONIBILIDADE!C:C,C331,DISPONIBILIDADE!D:D,"&lt;="&amp;E331,DISPONIBILIDADE!E:E,"&gt;="&amp;F331,DISPONIBILIDADE!F:F,"Ambas",DISPONIBILIDADE!G:G,"Sim"))&gt;0,COUNTIFS($G$3:$G$502,G331,$B$3:$B$502,B331,$E$3:$E$502,"&lt;"&amp;F331,$F$3:$F$502,"&gt;"&amp;E331,$A$3:$A$502,"&lt;&gt;"&amp;A331)=0),"Sim","Não"))</f>
        <v/>
      </c>
      <c r="L331" s="11" t="str">
        <f>IF(OR(G331="",D331=""),"",IF(COUNTIFS('RESTRIÇÕES'!A:A,G331,'RESTRIÇÕES'!C:C,D331,'RESTRIÇÕES'!F:F,"Sim")&gt;0,"Com restrição","Sem restrição"))</f>
        <v/>
      </c>
      <c r="M331" s="11" t="str">
        <f t="shared" si="2"/>
        <v/>
      </c>
    </row>
    <row r="332" ht="15.75" customHeight="1">
      <c r="A332" s="13" t="str">
        <f t="shared" si="3"/>
        <v/>
      </c>
      <c r="B332" s="27"/>
      <c r="C332" s="13" t="str">
        <f t="shared" si="4"/>
        <v/>
      </c>
      <c r="D332" s="12"/>
      <c r="E332" s="21"/>
      <c r="F332" s="21"/>
      <c r="G332" s="12"/>
      <c r="H332" s="13" t="str">
        <f>IF(G332="","",IFERROR(VLOOKUP(G332,PROFESSORES!A:B,2,FALSE),""))</f>
        <v/>
      </c>
      <c r="I332" s="12"/>
      <c r="J332" s="12"/>
      <c r="K332" s="13" t="str">
        <f>IF(OR(G332="",C332="",E332="",F332="",I332=""),"",IF(AND((COUNTIFS(DISPONIBILIDADE!A:A,G332,DISPONIBILIDADE!C:C,C332,DISPONIBILIDADE!D:D,"&lt;="&amp;E332,DISPONIBILIDADE!E:E,"&gt;="&amp;F332,DISPONIBILIDADE!F:F,I332,DISPONIBILIDADE!G:G,"Sim")+COUNTIFS(DISPONIBILIDADE!A:A,G332,DISPONIBILIDADE!C:C,C332,DISPONIBILIDADE!D:D,"&lt;="&amp;E332,DISPONIBILIDADE!E:E,"&gt;="&amp;F332,DISPONIBILIDADE!F:F,"Ambas",DISPONIBILIDADE!G:G,"Sim"))&gt;0,COUNTIFS($G$3:$G$502,G332,$B$3:$B$502,B332,$E$3:$E$502,"&lt;"&amp;F332,$F$3:$F$502,"&gt;"&amp;E332,$A$3:$A$502,"&lt;&gt;"&amp;A332)=0),"Sim","Não"))</f>
        <v/>
      </c>
      <c r="L332" s="13" t="str">
        <f>IF(OR(G332="",D332=""),"",IF(COUNTIFS('RESTRIÇÕES'!A:A,G332,'RESTRIÇÕES'!C:C,D332,'RESTRIÇÕES'!F:F,"Sim")&gt;0,"Com restrição","Sem restrição"))</f>
        <v/>
      </c>
      <c r="M332" s="13" t="str">
        <f t="shared" si="2"/>
        <v/>
      </c>
    </row>
    <row r="333" ht="15.75" customHeight="1">
      <c r="A333" s="11" t="str">
        <f t="shared" si="3"/>
        <v/>
      </c>
      <c r="B333" s="28"/>
      <c r="C333" s="11" t="str">
        <f t="shared" si="4"/>
        <v/>
      </c>
      <c r="D333" s="10"/>
      <c r="E333" s="19"/>
      <c r="F333" s="19"/>
      <c r="G333" s="10"/>
      <c r="H333" s="11" t="str">
        <f>IF(G333="","",IFERROR(VLOOKUP(G333,PROFESSORES!A:B,2,FALSE),""))</f>
        <v/>
      </c>
      <c r="I333" s="10"/>
      <c r="J333" s="10"/>
      <c r="K333" s="11" t="str">
        <f>IF(OR(G333="",C333="",E333="",F333="",I333=""),"",IF(AND((COUNTIFS(DISPONIBILIDADE!A:A,G333,DISPONIBILIDADE!C:C,C333,DISPONIBILIDADE!D:D,"&lt;="&amp;E333,DISPONIBILIDADE!E:E,"&gt;="&amp;F333,DISPONIBILIDADE!F:F,I333,DISPONIBILIDADE!G:G,"Sim")+COUNTIFS(DISPONIBILIDADE!A:A,G333,DISPONIBILIDADE!C:C,C333,DISPONIBILIDADE!D:D,"&lt;="&amp;E333,DISPONIBILIDADE!E:E,"&gt;="&amp;F333,DISPONIBILIDADE!F:F,"Ambas",DISPONIBILIDADE!G:G,"Sim"))&gt;0,COUNTIFS($G$3:$G$502,G333,$B$3:$B$502,B333,$E$3:$E$502,"&lt;"&amp;F333,$F$3:$F$502,"&gt;"&amp;E333,$A$3:$A$502,"&lt;&gt;"&amp;A333)=0),"Sim","Não"))</f>
        <v/>
      </c>
      <c r="L333" s="11" t="str">
        <f>IF(OR(G333="",D333=""),"",IF(COUNTIFS('RESTRIÇÕES'!A:A,G333,'RESTRIÇÕES'!C:C,D333,'RESTRIÇÕES'!F:F,"Sim")&gt;0,"Com restrição","Sem restrição"))</f>
        <v/>
      </c>
      <c r="M333" s="11" t="str">
        <f t="shared" si="2"/>
        <v/>
      </c>
    </row>
    <row r="334" ht="15.75" customHeight="1">
      <c r="A334" s="13" t="str">
        <f t="shared" si="3"/>
        <v/>
      </c>
      <c r="B334" s="27"/>
      <c r="C334" s="13" t="str">
        <f t="shared" si="4"/>
        <v/>
      </c>
      <c r="D334" s="12"/>
      <c r="E334" s="21"/>
      <c r="F334" s="21"/>
      <c r="G334" s="12"/>
      <c r="H334" s="13" t="str">
        <f>IF(G334="","",IFERROR(VLOOKUP(G334,PROFESSORES!A:B,2,FALSE),""))</f>
        <v/>
      </c>
      <c r="I334" s="12"/>
      <c r="J334" s="12"/>
      <c r="K334" s="13" t="str">
        <f>IF(OR(G334="",C334="",E334="",F334="",I334=""),"",IF(AND((COUNTIFS(DISPONIBILIDADE!A:A,G334,DISPONIBILIDADE!C:C,C334,DISPONIBILIDADE!D:D,"&lt;="&amp;E334,DISPONIBILIDADE!E:E,"&gt;="&amp;F334,DISPONIBILIDADE!F:F,I334,DISPONIBILIDADE!G:G,"Sim")+COUNTIFS(DISPONIBILIDADE!A:A,G334,DISPONIBILIDADE!C:C,C334,DISPONIBILIDADE!D:D,"&lt;="&amp;E334,DISPONIBILIDADE!E:E,"&gt;="&amp;F334,DISPONIBILIDADE!F:F,"Ambas",DISPONIBILIDADE!G:G,"Sim"))&gt;0,COUNTIFS($G$3:$G$502,G334,$B$3:$B$502,B334,$E$3:$E$502,"&lt;"&amp;F334,$F$3:$F$502,"&gt;"&amp;E334,$A$3:$A$502,"&lt;&gt;"&amp;A334)=0),"Sim","Não"))</f>
        <v/>
      </c>
      <c r="L334" s="13" t="str">
        <f>IF(OR(G334="",D334=""),"",IF(COUNTIFS('RESTRIÇÕES'!A:A,G334,'RESTRIÇÕES'!C:C,D334,'RESTRIÇÕES'!F:F,"Sim")&gt;0,"Com restrição","Sem restrição"))</f>
        <v/>
      </c>
      <c r="M334" s="13" t="str">
        <f t="shared" si="2"/>
        <v/>
      </c>
    </row>
    <row r="335" ht="15.75" customHeight="1">
      <c r="A335" s="11" t="str">
        <f t="shared" si="3"/>
        <v/>
      </c>
      <c r="B335" s="28"/>
      <c r="C335" s="11" t="str">
        <f t="shared" si="4"/>
        <v/>
      </c>
      <c r="D335" s="10"/>
      <c r="E335" s="19"/>
      <c r="F335" s="19"/>
      <c r="G335" s="10"/>
      <c r="H335" s="11" t="str">
        <f>IF(G335="","",IFERROR(VLOOKUP(G335,PROFESSORES!A:B,2,FALSE),""))</f>
        <v/>
      </c>
      <c r="I335" s="10"/>
      <c r="J335" s="10"/>
      <c r="K335" s="11" t="str">
        <f>IF(OR(G335="",C335="",E335="",F335="",I335=""),"",IF(AND((COUNTIFS(DISPONIBILIDADE!A:A,G335,DISPONIBILIDADE!C:C,C335,DISPONIBILIDADE!D:D,"&lt;="&amp;E335,DISPONIBILIDADE!E:E,"&gt;="&amp;F335,DISPONIBILIDADE!F:F,I335,DISPONIBILIDADE!G:G,"Sim")+COUNTIFS(DISPONIBILIDADE!A:A,G335,DISPONIBILIDADE!C:C,C335,DISPONIBILIDADE!D:D,"&lt;="&amp;E335,DISPONIBILIDADE!E:E,"&gt;="&amp;F335,DISPONIBILIDADE!F:F,"Ambas",DISPONIBILIDADE!G:G,"Sim"))&gt;0,COUNTIFS($G$3:$G$502,G335,$B$3:$B$502,B335,$E$3:$E$502,"&lt;"&amp;F335,$F$3:$F$502,"&gt;"&amp;E335,$A$3:$A$502,"&lt;&gt;"&amp;A335)=0),"Sim","Não"))</f>
        <v/>
      </c>
      <c r="L335" s="11" t="str">
        <f>IF(OR(G335="",D335=""),"",IF(COUNTIFS('RESTRIÇÕES'!A:A,G335,'RESTRIÇÕES'!C:C,D335,'RESTRIÇÕES'!F:F,"Sim")&gt;0,"Com restrição","Sem restrição"))</f>
        <v/>
      </c>
      <c r="M335" s="11" t="str">
        <f t="shared" si="2"/>
        <v/>
      </c>
    </row>
    <row r="336" ht="15.75" customHeight="1">
      <c r="A336" s="13" t="str">
        <f t="shared" si="3"/>
        <v/>
      </c>
      <c r="B336" s="27"/>
      <c r="C336" s="13" t="str">
        <f t="shared" si="4"/>
        <v/>
      </c>
      <c r="D336" s="12"/>
      <c r="E336" s="21"/>
      <c r="F336" s="21"/>
      <c r="G336" s="12"/>
      <c r="H336" s="13" t="str">
        <f>IF(G336="","",IFERROR(VLOOKUP(G336,PROFESSORES!A:B,2,FALSE),""))</f>
        <v/>
      </c>
      <c r="I336" s="12"/>
      <c r="J336" s="12"/>
      <c r="K336" s="13" t="str">
        <f>IF(OR(G336="",C336="",E336="",F336="",I336=""),"",IF(AND((COUNTIFS(DISPONIBILIDADE!A:A,G336,DISPONIBILIDADE!C:C,C336,DISPONIBILIDADE!D:D,"&lt;="&amp;E336,DISPONIBILIDADE!E:E,"&gt;="&amp;F336,DISPONIBILIDADE!F:F,I336,DISPONIBILIDADE!G:G,"Sim")+COUNTIFS(DISPONIBILIDADE!A:A,G336,DISPONIBILIDADE!C:C,C336,DISPONIBILIDADE!D:D,"&lt;="&amp;E336,DISPONIBILIDADE!E:E,"&gt;="&amp;F336,DISPONIBILIDADE!F:F,"Ambas",DISPONIBILIDADE!G:G,"Sim"))&gt;0,COUNTIFS($G$3:$G$502,G336,$B$3:$B$502,B336,$E$3:$E$502,"&lt;"&amp;F336,$F$3:$F$502,"&gt;"&amp;E336,$A$3:$A$502,"&lt;&gt;"&amp;A336)=0),"Sim","Não"))</f>
        <v/>
      </c>
      <c r="L336" s="13" t="str">
        <f>IF(OR(G336="",D336=""),"",IF(COUNTIFS('RESTRIÇÕES'!A:A,G336,'RESTRIÇÕES'!C:C,D336,'RESTRIÇÕES'!F:F,"Sim")&gt;0,"Com restrição","Sem restrição"))</f>
        <v/>
      </c>
      <c r="M336" s="13" t="str">
        <f t="shared" si="2"/>
        <v/>
      </c>
    </row>
    <row r="337" ht="15.75" customHeight="1">
      <c r="A337" s="11" t="str">
        <f t="shared" si="3"/>
        <v/>
      </c>
      <c r="B337" s="28"/>
      <c r="C337" s="11" t="str">
        <f t="shared" si="4"/>
        <v/>
      </c>
      <c r="D337" s="10"/>
      <c r="E337" s="19"/>
      <c r="F337" s="19"/>
      <c r="G337" s="10"/>
      <c r="H337" s="11" t="str">
        <f>IF(G337="","",IFERROR(VLOOKUP(G337,PROFESSORES!A:B,2,FALSE),""))</f>
        <v/>
      </c>
      <c r="I337" s="10"/>
      <c r="J337" s="10"/>
      <c r="K337" s="11" t="str">
        <f>IF(OR(G337="",C337="",E337="",F337="",I337=""),"",IF(AND((COUNTIFS(DISPONIBILIDADE!A:A,G337,DISPONIBILIDADE!C:C,C337,DISPONIBILIDADE!D:D,"&lt;="&amp;E337,DISPONIBILIDADE!E:E,"&gt;="&amp;F337,DISPONIBILIDADE!F:F,I337,DISPONIBILIDADE!G:G,"Sim")+COUNTIFS(DISPONIBILIDADE!A:A,G337,DISPONIBILIDADE!C:C,C337,DISPONIBILIDADE!D:D,"&lt;="&amp;E337,DISPONIBILIDADE!E:E,"&gt;="&amp;F337,DISPONIBILIDADE!F:F,"Ambas",DISPONIBILIDADE!G:G,"Sim"))&gt;0,COUNTIFS($G$3:$G$502,G337,$B$3:$B$502,B337,$E$3:$E$502,"&lt;"&amp;F337,$F$3:$F$502,"&gt;"&amp;E337,$A$3:$A$502,"&lt;&gt;"&amp;A337)=0),"Sim","Não"))</f>
        <v/>
      </c>
      <c r="L337" s="11" t="str">
        <f>IF(OR(G337="",D337=""),"",IF(COUNTIFS('RESTRIÇÕES'!A:A,G337,'RESTRIÇÕES'!C:C,D337,'RESTRIÇÕES'!F:F,"Sim")&gt;0,"Com restrição","Sem restrição"))</f>
        <v/>
      </c>
      <c r="M337" s="11" t="str">
        <f t="shared" si="2"/>
        <v/>
      </c>
    </row>
    <row r="338" ht="15.75" customHeight="1">
      <c r="A338" s="13" t="str">
        <f t="shared" si="3"/>
        <v/>
      </c>
      <c r="B338" s="27"/>
      <c r="C338" s="13" t="str">
        <f t="shared" si="4"/>
        <v/>
      </c>
      <c r="D338" s="12"/>
      <c r="E338" s="21"/>
      <c r="F338" s="21"/>
      <c r="G338" s="12"/>
      <c r="H338" s="13" t="str">
        <f>IF(G338="","",IFERROR(VLOOKUP(G338,PROFESSORES!A:B,2,FALSE),""))</f>
        <v/>
      </c>
      <c r="I338" s="12"/>
      <c r="J338" s="12"/>
      <c r="K338" s="13" t="str">
        <f>IF(OR(G338="",C338="",E338="",F338="",I338=""),"",IF(AND((COUNTIFS(DISPONIBILIDADE!A:A,G338,DISPONIBILIDADE!C:C,C338,DISPONIBILIDADE!D:D,"&lt;="&amp;E338,DISPONIBILIDADE!E:E,"&gt;="&amp;F338,DISPONIBILIDADE!F:F,I338,DISPONIBILIDADE!G:G,"Sim")+COUNTIFS(DISPONIBILIDADE!A:A,G338,DISPONIBILIDADE!C:C,C338,DISPONIBILIDADE!D:D,"&lt;="&amp;E338,DISPONIBILIDADE!E:E,"&gt;="&amp;F338,DISPONIBILIDADE!F:F,"Ambas",DISPONIBILIDADE!G:G,"Sim"))&gt;0,COUNTIFS($G$3:$G$502,G338,$B$3:$B$502,B338,$E$3:$E$502,"&lt;"&amp;F338,$F$3:$F$502,"&gt;"&amp;E338,$A$3:$A$502,"&lt;&gt;"&amp;A338)=0),"Sim","Não"))</f>
        <v/>
      </c>
      <c r="L338" s="13" t="str">
        <f>IF(OR(G338="",D338=""),"",IF(COUNTIFS('RESTRIÇÕES'!A:A,G338,'RESTRIÇÕES'!C:C,D338,'RESTRIÇÕES'!F:F,"Sim")&gt;0,"Com restrição","Sem restrição"))</f>
        <v/>
      </c>
      <c r="M338" s="13" t="str">
        <f t="shared" si="2"/>
        <v/>
      </c>
    </row>
    <row r="339" ht="15.75" customHeight="1">
      <c r="A339" s="11" t="str">
        <f t="shared" si="3"/>
        <v/>
      </c>
      <c r="B339" s="28"/>
      <c r="C339" s="11" t="str">
        <f t="shared" si="4"/>
        <v/>
      </c>
      <c r="D339" s="10"/>
      <c r="E339" s="19"/>
      <c r="F339" s="19"/>
      <c r="G339" s="10"/>
      <c r="H339" s="11" t="str">
        <f>IF(G339="","",IFERROR(VLOOKUP(G339,PROFESSORES!A:B,2,FALSE),""))</f>
        <v/>
      </c>
      <c r="I339" s="10"/>
      <c r="J339" s="10"/>
      <c r="K339" s="11" t="str">
        <f>IF(OR(G339="",C339="",E339="",F339="",I339=""),"",IF(AND((COUNTIFS(DISPONIBILIDADE!A:A,G339,DISPONIBILIDADE!C:C,C339,DISPONIBILIDADE!D:D,"&lt;="&amp;E339,DISPONIBILIDADE!E:E,"&gt;="&amp;F339,DISPONIBILIDADE!F:F,I339,DISPONIBILIDADE!G:G,"Sim")+COUNTIFS(DISPONIBILIDADE!A:A,G339,DISPONIBILIDADE!C:C,C339,DISPONIBILIDADE!D:D,"&lt;="&amp;E339,DISPONIBILIDADE!E:E,"&gt;="&amp;F339,DISPONIBILIDADE!F:F,"Ambas",DISPONIBILIDADE!G:G,"Sim"))&gt;0,COUNTIFS($G$3:$G$502,G339,$B$3:$B$502,B339,$E$3:$E$502,"&lt;"&amp;F339,$F$3:$F$502,"&gt;"&amp;E339,$A$3:$A$502,"&lt;&gt;"&amp;A339)=0),"Sim","Não"))</f>
        <v/>
      </c>
      <c r="L339" s="11" t="str">
        <f>IF(OR(G339="",D339=""),"",IF(COUNTIFS('RESTRIÇÕES'!A:A,G339,'RESTRIÇÕES'!C:C,D339,'RESTRIÇÕES'!F:F,"Sim")&gt;0,"Com restrição","Sem restrição"))</f>
        <v/>
      </c>
      <c r="M339" s="11" t="str">
        <f t="shared" si="2"/>
        <v/>
      </c>
    </row>
    <row r="340" ht="15.75" customHeight="1">
      <c r="A340" s="13" t="str">
        <f t="shared" si="3"/>
        <v/>
      </c>
      <c r="B340" s="27"/>
      <c r="C340" s="13" t="str">
        <f t="shared" si="4"/>
        <v/>
      </c>
      <c r="D340" s="12"/>
      <c r="E340" s="21"/>
      <c r="F340" s="21"/>
      <c r="G340" s="12"/>
      <c r="H340" s="13" t="str">
        <f>IF(G340="","",IFERROR(VLOOKUP(G340,PROFESSORES!A:B,2,FALSE),""))</f>
        <v/>
      </c>
      <c r="I340" s="12"/>
      <c r="J340" s="12"/>
      <c r="K340" s="13" t="str">
        <f>IF(OR(G340="",C340="",E340="",F340="",I340=""),"",IF(AND((COUNTIFS(DISPONIBILIDADE!A:A,G340,DISPONIBILIDADE!C:C,C340,DISPONIBILIDADE!D:D,"&lt;="&amp;E340,DISPONIBILIDADE!E:E,"&gt;="&amp;F340,DISPONIBILIDADE!F:F,I340,DISPONIBILIDADE!G:G,"Sim")+COUNTIFS(DISPONIBILIDADE!A:A,G340,DISPONIBILIDADE!C:C,C340,DISPONIBILIDADE!D:D,"&lt;="&amp;E340,DISPONIBILIDADE!E:E,"&gt;="&amp;F340,DISPONIBILIDADE!F:F,"Ambas",DISPONIBILIDADE!G:G,"Sim"))&gt;0,COUNTIFS($G$3:$G$502,G340,$B$3:$B$502,B340,$E$3:$E$502,"&lt;"&amp;F340,$F$3:$F$502,"&gt;"&amp;E340,$A$3:$A$502,"&lt;&gt;"&amp;A340)=0),"Sim","Não"))</f>
        <v/>
      </c>
      <c r="L340" s="13" t="str">
        <f>IF(OR(G340="",D340=""),"",IF(COUNTIFS('RESTRIÇÕES'!A:A,G340,'RESTRIÇÕES'!C:C,D340,'RESTRIÇÕES'!F:F,"Sim")&gt;0,"Com restrição","Sem restrição"))</f>
        <v/>
      </c>
      <c r="M340" s="13" t="str">
        <f t="shared" si="2"/>
        <v/>
      </c>
    </row>
    <row r="341" ht="15.75" customHeight="1">
      <c r="A341" s="11" t="str">
        <f t="shared" si="3"/>
        <v/>
      </c>
      <c r="B341" s="28"/>
      <c r="C341" s="11" t="str">
        <f t="shared" si="4"/>
        <v/>
      </c>
      <c r="D341" s="10"/>
      <c r="E341" s="19"/>
      <c r="F341" s="19"/>
      <c r="G341" s="10"/>
      <c r="H341" s="11" t="str">
        <f>IF(G341="","",IFERROR(VLOOKUP(G341,PROFESSORES!A:B,2,FALSE),""))</f>
        <v/>
      </c>
      <c r="I341" s="10"/>
      <c r="J341" s="10"/>
      <c r="K341" s="11" t="str">
        <f>IF(OR(G341="",C341="",E341="",F341="",I341=""),"",IF(AND((COUNTIFS(DISPONIBILIDADE!A:A,G341,DISPONIBILIDADE!C:C,C341,DISPONIBILIDADE!D:D,"&lt;="&amp;E341,DISPONIBILIDADE!E:E,"&gt;="&amp;F341,DISPONIBILIDADE!F:F,I341,DISPONIBILIDADE!G:G,"Sim")+COUNTIFS(DISPONIBILIDADE!A:A,G341,DISPONIBILIDADE!C:C,C341,DISPONIBILIDADE!D:D,"&lt;="&amp;E341,DISPONIBILIDADE!E:E,"&gt;="&amp;F341,DISPONIBILIDADE!F:F,"Ambas",DISPONIBILIDADE!G:G,"Sim"))&gt;0,COUNTIFS($G$3:$G$502,G341,$B$3:$B$502,B341,$E$3:$E$502,"&lt;"&amp;F341,$F$3:$F$502,"&gt;"&amp;E341,$A$3:$A$502,"&lt;&gt;"&amp;A341)=0),"Sim","Não"))</f>
        <v/>
      </c>
      <c r="L341" s="11" t="str">
        <f>IF(OR(G341="",D341=""),"",IF(COUNTIFS('RESTRIÇÕES'!A:A,G341,'RESTRIÇÕES'!C:C,D341,'RESTRIÇÕES'!F:F,"Sim")&gt;0,"Com restrição","Sem restrição"))</f>
        <v/>
      </c>
      <c r="M341" s="11" t="str">
        <f t="shared" si="2"/>
        <v/>
      </c>
    </row>
    <row r="342" ht="15.75" customHeight="1">
      <c r="A342" s="13" t="str">
        <f t="shared" si="3"/>
        <v/>
      </c>
      <c r="B342" s="27"/>
      <c r="C342" s="13" t="str">
        <f t="shared" si="4"/>
        <v/>
      </c>
      <c r="D342" s="12"/>
      <c r="E342" s="21"/>
      <c r="F342" s="21"/>
      <c r="G342" s="12"/>
      <c r="H342" s="13" t="str">
        <f>IF(G342="","",IFERROR(VLOOKUP(G342,PROFESSORES!A:B,2,FALSE),""))</f>
        <v/>
      </c>
      <c r="I342" s="12"/>
      <c r="J342" s="12"/>
      <c r="K342" s="13" t="str">
        <f>IF(OR(G342="",C342="",E342="",F342="",I342=""),"",IF(AND((COUNTIFS(DISPONIBILIDADE!A:A,G342,DISPONIBILIDADE!C:C,C342,DISPONIBILIDADE!D:D,"&lt;="&amp;E342,DISPONIBILIDADE!E:E,"&gt;="&amp;F342,DISPONIBILIDADE!F:F,I342,DISPONIBILIDADE!G:G,"Sim")+COUNTIFS(DISPONIBILIDADE!A:A,G342,DISPONIBILIDADE!C:C,C342,DISPONIBILIDADE!D:D,"&lt;="&amp;E342,DISPONIBILIDADE!E:E,"&gt;="&amp;F342,DISPONIBILIDADE!F:F,"Ambas",DISPONIBILIDADE!G:G,"Sim"))&gt;0,COUNTIFS($G$3:$G$502,G342,$B$3:$B$502,B342,$E$3:$E$502,"&lt;"&amp;F342,$F$3:$F$502,"&gt;"&amp;E342,$A$3:$A$502,"&lt;&gt;"&amp;A342)=0),"Sim","Não"))</f>
        <v/>
      </c>
      <c r="L342" s="13" t="str">
        <f>IF(OR(G342="",D342=""),"",IF(COUNTIFS('RESTRIÇÕES'!A:A,G342,'RESTRIÇÕES'!C:C,D342,'RESTRIÇÕES'!F:F,"Sim")&gt;0,"Com restrição","Sem restrição"))</f>
        <v/>
      </c>
      <c r="M342" s="13" t="str">
        <f t="shared" si="2"/>
        <v/>
      </c>
    </row>
    <row r="343" ht="15.75" customHeight="1">
      <c r="A343" s="11" t="str">
        <f t="shared" si="3"/>
        <v/>
      </c>
      <c r="B343" s="28"/>
      <c r="C343" s="11" t="str">
        <f t="shared" si="4"/>
        <v/>
      </c>
      <c r="D343" s="10"/>
      <c r="E343" s="19"/>
      <c r="F343" s="19"/>
      <c r="G343" s="10"/>
      <c r="H343" s="11" t="str">
        <f>IF(G343="","",IFERROR(VLOOKUP(G343,PROFESSORES!A:B,2,FALSE),""))</f>
        <v/>
      </c>
      <c r="I343" s="10"/>
      <c r="J343" s="10"/>
      <c r="K343" s="11" t="str">
        <f>IF(OR(G343="",C343="",E343="",F343="",I343=""),"",IF(AND((COUNTIFS(DISPONIBILIDADE!A:A,G343,DISPONIBILIDADE!C:C,C343,DISPONIBILIDADE!D:D,"&lt;="&amp;E343,DISPONIBILIDADE!E:E,"&gt;="&amp;F343,DISPONIBILIDADE!F:F,I343,DISPONIBILIDADE!G:G,"Sim")+COUNTIFS(DISPONIBILIDADE!A:A,G343,DISPONIBILIDADE!C:C,C343,DISPONIBILIDADE!D:D,"&lt;="&amp;E343,DISPONIBILIDADE!E:E,"&gt;="&amp;F343,DISPONIBILIDADE!F:F,"Ambas",DISPONIBILIDADE!G:G,"Sim"))&gt;0,COUNTIFS($G$3:$G$502,G343,$B$3:$B$502,B343,$E$3:$E$502,"&lt;"&amp;F343,$F$3:$F$502,"&gt;"&amp;E343,$A$3:$A$502,"&lt;&gt;"&amp;A343)=0),"Sim","Não"))</f>
        <v/>
      </c>
      <c r="L343" s="11" t="str">
        <f>IF(OR(G343="",D343=""),"",IF(COUNTIFS('RESTRIÇÕES'!A:A,G343,'RESTRIÇÕES'!C:C,D343,'RESTRIÇÕES'!F:F,"Sim")&gt;0,"Com restrição","Sem restrição"))</f>
        <v/>
      </c>
      <c r="M343" s="11" t="str">
        <f t="shared" si="2"/>
        <v/>
      </c>
    </row>
    <row r="344" ht="15.75" customHeight="1">
      <c r="A344" s="13" t="str">
        <f t="shared" si="3"/>
        <v/>
      </c>
      <c r="B344" s="27"/>
      <c r="C344" s="13" t="str">
        <f t="shared" si="4"/>
        <v/>
      </c>
      <c r="D344" s="12"/>
      <c r="E344" s="21"/>
      <c r="F344" s="21"/>
      <c r="G344" s="12"/>
      <c r="H344" s="13" t="str">
        <f>IF(G344="","",IFERROR(VLOOKUP(G344,PROFESSORES!A:B,2,FALSE),""))</f>
        <v/>
      </c>
      <c r="I344" s="12"/>
      <c r="J344" s="12"/>
      <c r="K344" s="13" t="str">
        <f>IF(OR(G344="",C344="",E344="",F344="",I344=""),"",IF(AND((COUNTIFS(DISPONIBILIDADE!A:A,G344,DISPONIBILIDADE!C:C,C344,DISPONIBILIDADE!D:D,"&lt;="&amp;E344,DISPONIBILIDADE!E:E,"&gt;="&amp;F344,DISPONIBILIDADE!F:F,I344,DISPONIBILIDADE!G:G,"Sim")+COUNTIFS(DISPONIBILIDADE!A:A,G344,DISPONIBILIDADE!C:C,C344,DISPONIBILIDADE!D:D,"&lt;="&amp;E344,DISPONIBILIDADE!E:E,"&gt;="&amp;F344,DISPONIBILIDADE!F:F,"Ambas",DISPONIBILIDADE!G:G,"Sim"))&gt;0,COUNTIFS($G$3:$G$502,G344,$B$3:$B$502,B344,$E$3:$E$502,"&lt;"&amp;F344,$F$3:$F$502,"&gt;"&amp;E344,$A$3:$A$502,"&lt;&gt;"&amp;A344)=0),"Sim","Não"))</f>
        <v/>
      </c>
      <c r="L344" s="13" t="str">
        <f>IF(OR(G344="",D344=""),"",IF(COUNTIFS('RESTRIÇÕES'!A:A,G344,'RESTRIÇÕES'!C:C,D344,'RESTRIÇÕES'!F:F,"Sim")&gt;0,"Com restrição","Sem restrição"))</f>
        <v/>
      </c>
      <c r="M344" s="13" t="str">
        <f t="shared" si="2"/>
        <v/>
      </c>
    </row>
    <row r="345" ht="15.75" customHeight="1">
      <c r="A345" s="11" t="str">
        <f t="shared" si="3"/>
        <v/>
      </c>
      <c r="B345" s="28"/>
      <c r="C345" s="11" t="str">
        <f t="shared" si="4"/>
        <v/>
      </c>
      <c r="D345" s="10"/>
      <c r="E345" s="19"/>
      <c r="F345" s="19"/>
      <c r="G345" s="10"/>
      <c r="H345" s="11" t="str">
        <f>IF(G345="","",IFERROR(VLOOKUP(G345,PROFESSORES!A:B,2,FALSE),""))</f>
        <v/>
      </c>
      <c r="I345" s="10"/>
      <c r="J345" s="10"/>
      <c r="K345" s="11" t="str">
        <f>IF(OR(G345="",C345="",E345="",F345="",I345=""),"",IF(AND((COUNTIFS(DISPONIBILIDADE!A:A,G345,DISPONIBILIDADE!C:C,C345,DISPONIBILIDADE!D:D,"&lt;="&amp;E345,DISPONIBILIDADE!E:E,"&gt;="&amp;F345,DISPONIBILIDADE!F:F,I345,DISPONIBILIDADE!G:G,"Sim")+COUNTIFS(DISPONIBILIDADE!A:A,G345,DISPONIBILIDADE!C:C,C345,DISPONIBILIDADE!D:D,"&lt;="&amp;E345,DISPONIBILIDADE!E:E,"&gt;="&amp;F345,DISPONIBILIDADE!F:F,"Ambas",DISPONIBILIDADE!G:G,"Sim"))&gt;0,COUNTIFS($G$3:$G$502,G345,$B$3:$B$502,B345,$E$3:$E$502,"&lt;"&amp;F345,$F$3:$F$502,"&gt;"&amp;E345,$A$3:$A$502,"&lt;&gt;"&amp;A345)=0),"Sim","Não"))</f>
        <v/>
      </c>
      <c r="L345" s="11" t="str">
        <f>IF(OR(G345="",D345=""),"",IF(COUNTIFS('RESTRIÇÕES'!A:A,G345,'RESTRIÇÕES'!C:C,D345,'RESTRIÇÕES'!F:F,"Sim")&gt;0,"Com restrição","Sem restrição"))</f>
        <v/>
      </c>
      <c r="M345" s="11" t="str">
        <f t="shared" si="2"/>
        <v/>
      </c>
    </row>
    <row r="346" ht="15.75" customHeight="1">
      <c r="A346" s="13" t="str">
        <f t="shared" si="3"/>
        <v/>
      </c>
      <c r="B346" s="27"/>
      <c r="C346" s="13" t="str">
        <f t="shared" si="4"/>
        <v/>
      </c>
      <c r="D346" s="12"/>
      <c r="E346" s="21"/>
      <c r="F346" s="21"/>
      <c r="G346" s="12"/>
      <c r="H346" s="13" t="str">
        <f>IF(G346="","",IFERROR(VLOOKUP(G346,PROFESSORES!A:B,2,FALSE),""))</f>
        <v/>
      </c>
      <c r="I346" s="12"/>
      <c r="J346" s="12"/>
      <c r="K346" s="13" t="str">
        <f>IF(OR(G346="",C346="",E346="",F346="",I346=""),"",IF(AND((COUNTIFS(DISPONIBILIDADE!A:A,G346,DISPONIBILIDADE!C:C,C346,DISPONIBILIDADE!D:D,"&lt;="&amp;E346,DISPONIBILIDADE!E:E,"&gt;="&amp;F346,DISPONIBILIDADE!F:F,I346,DISPONIBILIDADE!G:G,"Sim")+COUNTIFS(DISPONIBILIDADE!A:A,G346,DISPONIBILIDADE!C:C,C346,DISPONIBILIDADE!D:D,"&lt;="&amp;E346,DISPONIBILIDADE!E:E,"&gt;="&amp;F346,DISPONIBILIDADE!F:F,"Ambas",DISPONIBILIDADE!G:G,"Sim"))&gt;0,COUNTIFS($G$3:$G$502,G346,$B$3:$B$502,B346,$E$3:$E$502,"&lt;"&amp;F346,$F$3:$F$502,"&gt;"&amp;E346,$A$3:$A$502,"&lt;&gt;"&amp;A346)=0),"Sim","Não"))</f>
        <v/>
      </c>
      <c r="L346" s="13" t="str">
        <f>IF(OR(G346="",D346=""),"",IF(COUNTIFS('RESTRIÇÕES'!A:A,G346,'RESTRIÇÕES'!C:C,D346,'RESTRIÇÕES'!F:F,"Sim")&gt;0,"Com restrição","Sem restrição"))</f>
        <v/>
      </c>
      <c r="M346" s="13" t="str">
        <f t="shared" si="2"/>
        <v/>
      </c>
    </row>
    <row r="347" ht="15.75" customHeight="1">
      <c r="A347" s="11" t="str">
        <f t="shared" si="3"/>
        <v/>
      </c>
      <c r="B347" s="28"/>
      <c r="C347" s="11" t="str">
        <f t="shared" si="4"/>
        <v/>
      </c>
      <c r="D347" s="10"/>
      <c r="E347" s="19"/>
      <c r="F347" s="19"/>
      <c r="G347" s="10"/>
      <c r="H347" s="11" t="str">
        <f>IF(G347="","",IFERROR(VLOOKUP(G347,PROFESSORES!A:B,2,FALSE),""))</f>
        <v/>
      </c>
      <c r="I347" s="10"/>
      <c r="J347" s="10"/>
      <c r="K347" s="11" t="str">
        <f>IF(OR(G347="",C347="",E347="",F347="",I347=""),"",IF(AND((COUNTIFS(DISPONIBILIDADE!A:A,G347,DISPONIBILIDADE!C:C,C347,DISPONIBILIDADE!D:D,"&lt;="&amp;E347,DISPONIBILIDADE!E:E,"&gt;="&amp;F347,DISPONIBILIDADE!F:F,I347,DISPONIBILIDADE!G:G,"Sim")+COUNTIFS(DISPONIBILIDADE!A:A,G347,DISPONIBILIDADE!C:C,C347,DISPONIBILIDADE!D:D,"&lt;="&amp;E347,DISPONIBILIDADE!E:E,"&gt;="&amp;F347,DISPONIBILIDADE!F:F,"Ambas",DISPONIBILIDADE!G:G,"Sim"))&gt;0,COUNTIFS($G$3:$G$502,G347,$B$3:$B$502,B347,$E$3:$E$502,"&lt;"&amp;F347,$F$3:$F$502,"&gt;"&amp;E347,$A$3:$A$502,"&lt;&gt;"&amp;A347)=0),"Sim","Não"))</f>
        <v/>
      </c>
      <c r="L347" s="11" t="str">
        <f>IF(OR(G347="",D347=""),"",IF(COUNTIFS('RESTRIÇÕES'!A:A,G347,'RESTRIÇÕES'!C:C,D347,'RESTRIÇÕES'!F:F,"Sim")&gt;0,"Com restrição","Sem restrição"))</f>
        <v/>
      </c>
      <c r="M347" s="11" t="str">
        <f t="shared" si="2"/>
        <v/>
      </c>
    </row>
    <row r="348" ht="15.75" customHeight="1">
      <c r="A348" s="13" t="str">
        <f t="shared" si="3"/>
        <v/>
      </c>
      <c r="B348" s="27"/>
      <c r="C348" s="13" t="str">
        <f t="shared" si="4"/>
        <v/>
      </c>
      <c r="D348" s="12"/>
      <c r="E348" s="21"/>
      <c r="F348" s="21"/>
      <c r="G348" s="12"/>
      <c r="H348" s="13" t="str">
        <f>IF(G348="","",IFERROR(VLOOKUP(G348,PROFESSORES!A:B,2,FALSE),""))</f>
        <v/>
      </c>
      <c r="I348" s="12"/>
      <c r="J348" s="12"/>
      <c r="K348" s="13" t="str">
        <f>IF(OR(G348="",C348="",E348="",F348="",I348=""),"",IF(AND((COUNTIFS(DISPONIBILIDADE!A:A,G348,DISPONIBILIDADE!C:C,C348,DISPONIBILIDADE!D:D,"&lt;="&amp;E348,DISPONIBILIDADE!E:E,"&gt;="&amp;F348,DISPONIBILIDADE!F:F,I348,DISPONIBILIDADE!G:G,"Sim")+COUNTIFS(DISPONIBILIDADE!A:A,G348,DISPONIBILIDADE!C:C,C348,DISPONIBILIDADE!D:D,"&lt;="&amp;E348,DISPONIBILIDADE!E:E,"&gt;="&amp;F348,DISPONIBILIDADE!F:F,"Ambas",DISPONIBILIDADE!G:G,"Sim"))&gt;0,COUNTIFS($G$3:$G$502,G348,$B$3:$B$502,B348,$E$3:$E$502,"&lt;"&amp;F348,$F$3:$F$502,"&gt;"&amp;E348,$A$3:$A$502,"&lt;&gt;"&amp;A348)=0),"Sim","Não"))</f>
        <v/>
      </c>
      <c r="L348" s="13" t="str">
        <f>IF(OR(G348="",D348=""),"",IF(COUNTIFS('RESTRIÇÕES'!A:A,G348,'RESTRIÇÕES'!C:C,D348,'RESTRIÇÕES'!F:F,"Sim")&gt;0,"Com restrição","Sem restrição"))</f>
        <v/>
      </c>
      <c r="M348" s="13" t="str">
        <f t="shared" si="2"/>
        <v/>
      </c>
    </row>
    <row r="349" ht="15.75" customHeight="1">
      <c r="A349" s="11" t="str">
        <f t="shared" si="3"/>
        <v/>
      </c>
      <c r="B349" s="28"/>
      <c r="C349" s="11" t="str">
        <f t="shared" si="4"/>
        <v/>
      </c>
      <c r="D349" s="10"/>
      <c r="E349" s="19"/>
      <c r="F349" s="19"/>
      <c r="G349" s="10"/>
      <c r="H349" s="11" t="str">
        <f>IF(G349="","",IFERROR(VLOOKUP(G349,PROFESSORES!A:B,2,FALSE),""))</f>
        <v/>
      </c>
      <c r="I349" s="10"/>
      <c r="J349" s="10"/>
      <c r="K349" s="11" t="str">
        <f>IF(OR(G349="",C349="",E349="",F349="",I349=""),"",IF(AND((COUNTIFS(DISPONIBILIDADE!A:A,G349,DISPONIBILIDADE!C:C,C349,DISPONIBILIDADE!D:D,"&lt;="&amp;E349,DISPONIBILIDADE!E:E,"&gt;="&amp;F349,DISPONIBILIDADE!F:F,I349,DISPONIBILIDADE!G:G,"Sim")+COUNTIFS(DISPONIBILIDADE!A:A,G349,DISPONIBILIDADE!C:C,C349,DISPONIBILIDADE!D:D,"&lt;="&amp;E349,DISPONIBILIDADE!E:E,"&gt;="&amp;F349,DISPONIBILIDADE!F:F,"Ambas",DISPONIBILIDADE!G:G,"Sim"))&gt;0,COUNTIFS($G$3:$G$502,G349,$B$3:$B$502,B349,$E$3:$E$502,"&lt;"&amp;F349,$F$3:$F$502,"&gt;"&amp;E349,$A$3:$A$502,"&lt;&gt;"&amp;A349)=0),"Sim","Não"))</f>
        <v/>
      </c>
      <c r="L349" s="11" t="str">
        <f>IF(OR(G349="",D349=""),"",IF(COUNTIFS('RESTRIÇÕES'!A:A,G349,'RESTRIÇÕES'!C:C,D349,'RESTRIÇÕES'!F:F,"Sim")&gt;0,"Com restrição","Sem restrição"))</f>
        <v/>
      </c>
      <c r="M349" s="11" t="str">
        <f t="shared" si="2"/>
        <v/>
      </c>
    </row>
    <row r="350" ht="15.75" customHeight="1">
      <c r="A350" s="13" t="str">
        <f t="shared" si="3"/>
        <v/>
      </c>
      <c r="B350" s="27"/>
      <c r="C350" s="13" t="str">
        <f t="shared" si="4"/>
        <v/>
      </c>
      <c r="D350" s="12"/>
      <c r="E350" s="21"/>
      <c r="F350" s="21"/>
      <c r="G350" s="12"/>
      <c r="H350" s="13" t="str">
        <f>IF(G350="","",IFERROR(VLOOKUP(G350,PROFESSORES!A:B,2,FALSE),""))</f>
        <v/>
      </c>
      <c r="I350" s="12"/>
      <c r="J350" s="12"/>
      <c r="K350" s="13" t="str">
        <f>IF(OR(G350="",C350="",E350="",F350="",I350=""),"",IF(AND((COUNTIFS(DISPONIBILIDADE!A:A,G350,DISPONIBILIDADE!C:C,C350,DISPONIBILIDADE!D:D,"&lt;="&amp;E350,DISPONIBILIDADE!E:E,"&gt;="&amp;F350,DISPONIBILIDADE!F:F,I350,DISPONIBILIDADE!G:G,"Sim")+COUNTIFS(DISPONIBILIDADE!A:A,G350,DISPONIBILIDADE!C:C,C350,DISPONIBILIDADE!D:D,"&lt;="&amp;E350,DISPONIBILIDADE!E:E,"&gt;="&amp;F350,DISPONIBILIDADE!F:F,"Ambas",DISPONIBILIDADE!G:G,"Sim"))&gt;0,COUNTIFS($G$3:$G$502,G350,$B$3:$B$502,B350,$E$3:$E$502,"&lt;"&amp;F350,$F$3:$F$502,"&gt;"&amp;E350,$A$3:$A$502,"&lt;&gt;"&amp;A350)=0),"Sim","Não"))</f>
        <v/>
      </c>
      <c r="L350" s="13" t="str">
        <f>IF(OR(G350="",D350=""),"",IF(COUNTIFS('RESTRIÇÕES'!A:A,G350,'RESTRIÇÕES'!C:C,D350,'RESTRIÇÕES'!F:F,"Sim")&gt;0,"Com restrição","Sem restrição"))</f>
        <v/>
      </c>
      <c r="M350" s="13" t="str">
        <f t="shared" si="2"/>
        <v/>
      </c>
    </row>
    <row r="351" ht="15.75" customHeight="1">
      <c r="A351" s="11" t="str">
        <f t="shared" si="3"/>
        <v/>
      </c>
      <c r="B351" s="28"/>
      <c r="C351" s="11" t="str">
        <f t="shared" si="4"/>
        <v/>
      </c>
      <c r="D351" s="10"/>
      <c r="E351" s="19"/>
      <c r="F351" s="19"/>
      <c r="G351" s="10"/>
      <c r="H351" s="11" t="str">
        <f>IF(G351="","",IFERROR(VLOOKUP(G351,PROFESSORES!A:B,2,FALSE),""))</f>
        <v/>
      </c>
      <c r="I351" s="10"/>
      <c r="J351" s="10"/>
      <c r="K351" s="11" t="str">
        <f>IF(OR(G351="",C351="",E351="",F351="",I351=""),"",IF(AND((COUNTIFS(DISPONIBILIDADE!A:A,G351,DISPONIBILIDADE!C:C,C351,DISPONIBILIDADE!D:D,"&lt;="&amp;E351,DISPONIBILIDADE!E:E,"&gt;="&amp;F351,DISPONIBILIDADE!F:F,I351,DISPONIBILIDADE!G:G,"Sim")+COUNTIFS(DISPONIBILIDADE!A:A,G351,DISPONIBILIDADE!C:C,C351,DISPONIBILIDADE!D:D,"&lt;="&amp;E351,DISPONIBILIDADE!E:E,"&gt;="&amp;F351,DISPONIBILIDADE!F:F,"Ambas",DISPONIBILIDADE!G:G,"Sim"))&gt;0,COUNTIFS($G$3:$G$502,G351,$B$3:$B$502,B351,$E$3:$E$502,"&lt;"&amp;F351,$F$3:$F$502,"&gt;"&amp;E351,$A$3:$A$502,"&lt;&gt;"&amp;A351)=0),"Sim","Não"))</f>
        <v/>
      </c>
      <c r="L351" s="11" t="str">
        <f>IF(OR(G351="",D351=""),"",IF(COUNTIFS('RESTRIÇÕES'!A:A,G351,'RESTRIÇÕES'!C:C,D351,'RESTRIÇÕES'!F:F,"Sim")&gt;0,"Com restrição","Sem restrição"))</f>
        <v/>
      </c>
      <c r="M351" s="11" t="str">
        <f t="shared" si="2"/>
        <v/>
      </c>
    </row>
    <row r="352" ht="15.75" customHeight="1">
      <c r="A352" s="13" t="str">
        <f t="shared" si="3"/>
        <v/>
      </c>
      <c r="B352" s="27"/>
      <c r="C352" s="13" t="str">
        <f t="shared" si="4"/>
        <v/>
      </c>
      <c r="D352" s="12"/>
      <c r="E352" s="21"/>
      <c r="F352" s="21"/>
      <c r="G352" s="12"/>
      <c r="H352" s="13" t="str">
        <f>IF(G352="","",IFERROR(VLOOKUP(G352,PROFESSORES!A:B,2,FALSE),""))</f>
        <v/>
      </c>
      <c r="I352" s="12"/>
      <c r="J352" s="12"/>
      <c r="K352" s="13" t="str">
        <f>IF(OR(G352="",C352="",E352="",F352="",I352=""),"",IF(AND((COUNTIFS(DISPONIBILIDADE!A:A,G352,DISPONIBILIDADE!C:C,C352,DISPONIBILIDADE!D:D,"&lt;="&amp;E352,DISPONIBILIDADE!E:E,"&gt;="&amp;F352,DISPONIBILIDADE!F:F,I352,DISPONIBILIDADE!G:G,"Sim")+COUNTIFS(DISPONIBILIDADE!A:A,G352,DISPONIBILIDADE!C:C,C352,DISPONIBILIDADE!D:D,"&lt;="&amp;E352,DISPONIBILIDADE!E:E,"&gt;="&amp;F352,DISPONIBILIDADE!F:F,"Ambas",DISPONIBILIDADE!G:G,"Sim"))&gt;0,COUNTIFS($G$3:$G$502,G352,$B$3:$B$502,B352,$E$3:$E$502,"&lt;"&amp;F352,$F$3:$F$502,"&gt;"&amp;E352,$A$3:$A$502,"&lt;&gt;"&amp;A352)=0),"Sim","Não"))</f>
        <v/>
      </c>
      <c r="L352" s="13" t="str">
        <f>IF(OR(G352="",D352=""),"",IF(COUNTIFS('RESTRIÇÕES'!A:A,G352,'RESTRIÇÕES'!C:C,D352,'RESTRIÇÕES'!F:F,"Sim")&gt;0,"Com restrição","Sem restrição"))</f>
        <v/>
      </c>
      <c r="M352" s="13" t="str">
        <f t="shared" si="2"/>
        <v/>
      </c>
    </row>
    <row r="353" ht="15.75" customHeight="1">
      <c r="A353" s="11" t="str">
        <f t="shared" si="3"/>
        <v/>
      </c>
      <c r="B353" s="28"/>
      <c r="C353" s="11" t="str">
        <f t="shared" si="4"/>
        <v/>
      </c>
      <c r="D353" s="10"/>
      <c r="E353" s="19"/>
      <c r="F353" s="19"/>
      <c r="G353" s="10"/>
      <c r="H353" s="11" t="str">
        <f>IF(G353="","",IFERROR(VLOOKUP(G353,PROFESSORES!A:B,2,FALSE),""))</f>
        <v/>
      </c>
      <c r="I353" s="10"/>
      <c r="J353" s="10"/>
      <c r="K353" s="11" t="str">
        <f>IF(OR(G353="",C353="",E353="",F353="",I353=""),"",IF(AND((COUNTIFS(DISPONIBILIDADE!A:A,G353,DISPONIBILIDADE!C:C,C353,DISPONIBILIDADE!D:D,"&lt;="&amp;E353,DISPONIBILIDADE!E:E,"&gt;="&amp;F353,DISPONIBILIDADE!F:F,I353,DISPONIBILIDADE!G:G,"Sim")+COUNTIFS(DISPONIBILIDADE!A:A,G353,DISPONIBILIDADE!C:C,C353,DISPONIBILIDADE!D:D,"&lt;="&amp;E353,DISPONIBILIDADE!E:E,"&gt;="&amp;F353,DISPONIBILIDADE!F:F,"Ambas",DISPONIBILIDADE!G:G,"Sim"))&gt;0,COUNTIFS($G$3:$G$502,G353,$B$3:$B$502,B353,$E$3:$E$502,"&lt;"&amp;F353,$F$3:$F$502,"&gt;"&amp;E353,$A$3:$A$502,"&lt;&gt;"&amp;A353)=0),"Sim","Não"))</f>
        <v/>
      </c>
      <c r="L353" s="11" t="str">
        <f>IF(OR(G353="",D353=""),"",IF(COUNTIFS('RESTRIÇÕES'!A:A,G353,'RESTRIÇÕES'!C:C,D353,'RESTRIÇÕES'!F:F,"Sim")&gt;0,"Com restrição","Sem restrição"))</f>
        <v/>
      </c>
      <c r="M353" s="11" t="str">
        <f t="shared" si="2"/>
        <v/>
      </c>
    </row>
    <row r="354" ht="15.75" customHeight="1">
      <c r="A354" s="13" t="str">
        <f t="shared" si="3"/>
        <v/>
      </c>
      <c r="B354" s="27"/>
      <c r="C354" s="13" t="str">
        <f t="shared" si="4"/>
        <v/>
      </c>
      <c r="D354" s="12"/>
      <c r="E354" s="21"/>
      <c r="F354" s="21"/>
      <c r="G354" s="12"/>
      <c r="H354" s="13" t="str">
        <f>IF(G354="","",IFERROR(VLOOKUP(G354,PROFESSORES!A:B,2,FALSE),""))</f>
        <v/>
      </c>
      <c r="I354" s="12"/>
      <c r="J354" s="12"/>
      <c r="K354" s="13" t="str">
        <f>IF(OR(G354="",C354="",E354="",F354="",I354=""),"",IF(AND((COUNTIFS(DISPONIBILIDADE!A:A,G354,DISPONIBILIDADE!C:C,C354,DISPONIBILIDADE!D:D,"&lt;="&amp;E354,DISPONIBILIDADE!E:E,"&gt;="&amp;F354,DISPONIBILIDADE!F:F,I354,DISPONIBILIDADE!G:G,"Sim")+COUNTIFS(DISPONIBILIDADE!A:A,G354,DISPONIBILIDADE!C:C,C354,DISPONIBILIDADE!D:D,"&lt;="&amp;E354,DISPONIBILIDADE!E:E,"&gt;="&amp;F354,DISPONIBILIDADE!F:F,"Ambas",DISPONIBILIDADE!G:G,"Sim"))&gt;0,COUNTIFS($G$3:$G$502,G354,$B$3:$B$502,B354,$E$3:$E$502,"&lt;"&amp;F354,$F$3:$F$502,"&gt;"&amp;E354,$A$3:$A$502,"&lt;&gt;"&amp;A354)=0),"Sim","Não"))</f>
        <v/>
      </c>
      <c r="L354" s="13" t="str">
        <f>IF(OR(G354="",D354=""),"",IF(COUNTIFS('RESTRIÇÕES'!A:A,G354,'RESTRIÇÕES'!C:C,D354,'RESTRIÇÕES'!F:F,"Sim")&gt;0,"Com restrição","Sem restrição"))</f>
        <v/>
      </c>
      <c r="M354" s="13" t="str">
        <f t="shared" si="2"/>
        <v/>
      </c>
    </row>
    <row r="355" ht="15.75" customHeight="1">
      <c r="A355" s="11" t="str">
        <f t="shared" si="3"/>
        <v/>
      </c>
      <c r="B355" s="28"/>
      <c r="C355" s="11" t="str">
        <f t="shared" si="4"/>
        <v/>
      </c>
      <c r="D355" s="10"/>
      <c r="E355" s="19"/>
      <c r="F355" s="19"/>
      <c r="G355" s="10"/>
      <c r="H355" s="11" t="str">
        <f>IF(G355="","",IFERROR(VLOOKUP(G355,PROFESSORES!A:B,2,FALSE),""))</f>
        <v/>
      </c>
      <c r="I355" s="10"/>
      <c r="J355" s="10"/>
      <c r="K355" s="11" t="str">
        <f>IF(OR(G355="",C355="",E355="",F355="",I355=""),"",IF(AND((COUNTIFS(DISPONIBILIDADE!A:A,G355,DISPONIBILIDADE!C:C,C355,DISPONIBILIDADE!D:D,"&lt;="&amp;E355,DISPONIBILIDADE!E:E,"&gt;="&amp;F355,DISPONIBILIDADE!F:F,I355,DISPONIBILIDADE!G:G,"Sim")+COUNTIFS(DISPONIBILIDADE!A:A,G355,DISPONIBILIDADE!C:C,C355,DISPONIBILIDADE!D:D,"&lt;="&amp;E355,DISPONIBILIDADE!E:E,"&gt;="&amp;F355,DISPONIBILIDADE!F:F,"Ambas",DISPONIBILIDADE!G:G,"Sim"))&gt;0,COUNTIFS($G$3:$G$502,G355,$B$3:$B$502,B355,$E$3:$E$502,"&lt;"&amp;F355,$F$3:$F$502,"&gt;"&amp;E355,$A$3:$A$502,"&lt;&gt;"&amp;A355)=0),"Sim","Não"))</f>
        <v/>
      </c>
      <c r="L355" s="11" t="str">
        <f>IF(OR(G355="",D355=""),"",IF(COUNTIFS('RESTRIÇÕES'!A:A,G355,'RESTRIÇÕES'!C:C,D355,'RESTRIÇÕES'!F:F,"Sim")&gt;0,"Com restrição","Sem restrição"))</f>
        <v/>
      </c>
      <c r="M355" s="11" t="str">
        <f t="shared" si="2"/>
        <v/>
      </c>
    </row>
    <row r="356" ht="15.75" customHeight="1">
      <c r="A356" s="13" t="str">
        <f t="shared" si="3"/>
        <v/>
      </c>
      <c r="B356" s="27"/>
      <c r="C356" s="13" t="str">
        <f t="shared" si="4"/>
        <v/>
      </c>
      <c r="D356" s="12"/>
      <c r="E356" s="21"/>
      <c r="F356" s="21"/>
      <c r="G356" s="12"/>
      <c r="H356" s="13" t="str">
        <f>IF(G356="","",IFERROR(VLOOKUP(G356,PROFESSORES!A:B,2,FALSE),""))</f>
        <v/>
      </c>
      <c r="I356" s="12"/>
      <c r="J356" s="12"/>
      <c r="K356" s="13" t="str">
        <f>IF(OR(G356="",C356="",E356="",F356="",I356=""),"",IF(AND((COUNTIFS(DISPONIBILIDADE!A:A,G356,DISPONIBILIDADE!C:C,C356,DISPONIBILIDADE!D:D,"&lt;="&amp;E356,DISPONIBILIDADE!E:E,"&gt;="&amp;F356,DISPONIBILIDADE!F:F,I356,DISPONIBILIDADE!G:G,"Sim")+COUNTIFS(DISPONIBILIDADE!A:A,G356,DISPONIBILIDADE!C:C,C356,DISPONIBILIDADE!D:D,"&lt;="&amp;E356,DISPONIBILIDADE!E:E,"&gt;="&amp;F356,DISPONIBILIDADE!F:F,"Ambas",DISPONIBILIDADE!G:G,"Sim"))&gt;0,COUNTIFS($G$3:$G$502,G356,$B$3:$B$502,B356,$E$3:$E$502,"&lt;"&amp;F356,$F$3:$F$502,"&gt;"&amp;E356,$A$3:$A$502,"&lt;&gt;"&amp;A356)=0),"Sim","Não"))</f>
        <v/>
      </c>
      <c r="L356" s="13" t="str">
        <f>IF(OR(G356="",D356=""),"",IF(COUNTIFS('RESTRIÇÕES'!A:A,G356,'RESTRIÇÕES'!C:C,D356,'RESTRIÇÕES'!F:F,"Sim")&gt;0,"Com restrição","Sem restrição"))</f>
        <v/>
      </c>
      <c r="M356" s="13" t="str">
        <f t="shared" si="2"/>
        <v/>
      </c>
    </row>
    <row r="357" ht="15.75" customHeight="1">
      <c r="A357" s="11" t="str">
        <f t="shared" si="3"/>
        <v/>
      </c>
      <c r="B357" s="28"/>
      <c r="C357" s="11" t="str">
        <f t="shared" si="4"/>
        <v/>
      </c>
      <c r="D357" s="10"/>
      <c r="E357" s="19"/>
      <c r="F357" s="19"/>
      <c r="G357" s="10"/>
      <c r="H357" s="11" t="str">
        <f>IF(G357="","",IFERROR(VLOOKUP(G357,PROFESSORES!A:B,2,FALSE),""))</f>
        <v/>
      </c>
      <c r="I357" s="10"/>
      <c r="J357" s="10"/>
      <c r="K357" s="11" t="str">
        <f>IF(OR(G357="",C357="",E357="",F357="",I357=""),"",IF(AND((COUNTIFS(DISPONIBILIDADE!A:A,G357,DISPONIBILIDADE!C:C,C357,DISPONIBILIDADE!D:D,"&lt;="&amp;E357,DISPONIBILIDADE!E:E,"&gt;="&amp;F357,DISPONIBILIDADE!F:F,I357,DISPONIBILIDADE!G:G,"Sim")+COUNTIFS(DISPONIBILIDADE!A:A,G357,DISPONIBILIDADE!C:C,C357,DISPONIBILIDADE!D:D,"&lt;="&amp;E357,DISPONIBILIDADE!E:E,"&gt;="&amp;F357,DISPONIBILIDADE!F:F,"Ambas",DISPONIBILIDADE!G:G,"Sim"))&gt;0,COUNTIFS($G$3:$G$502,G357,$B$3:$B$502,B357,$E$3:$E$502,"&lt;"&amp;F357,$F$3:$F$502,"&gt;"&amp;E357,$A$3:$A$502,"&lt;&gt;"&amp;A357)=0),"Sim","Não"))</f>
        <v/>
      </c>
      <c r="L357" s="11" t="str">
        <f>IF(OR(G357="",D357=""),"",IF(COUNTIFS('RESTRIÇÕES'!A:A,G357,'RESTRIÇÕES'!C:C,D357,'RESTRIÇÕES'!F:F,"Sim")&gt;0,"Com restrição","Sem restrição"))</f>
        <v/>
      </c>
      <c r="M357" s="11" t="str">
        <f t="shared" si="2"/>
        <v/>
      </c>
    </row>
    <row r="358" ht="15.75" customHeight="1">
      <c r="A358" s="13" t="str">
        <f t="shared" si="3"/>
        <v/>
      </c>
      <c r="B358" s="27"/>
      <c r="C358" s="13" t="str">
        <f t="shared" si="4"/>
        <v/>
      </c>
      <c r="D358" s="12"/>
      <c r="E358" s="21"/>
      <c r="F358" s="21"/>
      <c r="G358" s="12"/>
      <c r="H358" s="13" t="str">
        <f>IF(G358="","",IFERROR(VLOOKUP(G358,PROFESSORES!A:B,2,FALSE),""))</f>
        <v/>
      </c>
      <c r="I358" s="12"/>
      <c r="J358" s="12"/>
      <c r="K358" s="13" t="str">
        <f>IF(OR(G358="",C358="",E358="",F358="",I358=""),"",IF(AND((COUNTIFS(DISPONIBILIDADE!A:A,G358,DISPONIBILIDADE!C:C,C358,DISPONIBILIDADE!D:D,"&lt;="&amp;E358,DISPONIBILIDADE!E:E,"&gt;="&amp;F358,DISPONIBILIDADE!F:F,I358,DISPONIBILIDADE!G:G,"Sim")+COUNTIFS(DISPONIBILIDADE!A:A,G358,DISPONIBILIDADE!C:C,C358,DISPONIBILIDADE!D:D,"&lt;="&amp;E358,DISPONIBILIDADE!E:E,"&gt;="&amp;F358,DISPONIBILIDADE!F:F,"Ambas",DISPONIBILIDADE!G:G,"Sim"))&gt;0,COUNTIFS($G$3:$G$502,G358,$B$3:$B$502,B358,$E$3:$E$502,"&lt;"&amp;F358,$F$3:$F$502,"&gt;"&amp;E358,$A$3:$A$502,"&lt;&gt;"&amp;A358)=0),"Sim","Não"))</f>
        <v/>
      </c>
      <c r="L358" s="13" t="str">
        <f>IF(OR(G358="",D358=""),"",IF(COUNTIFS('RESTRIÇÕES'!A:A,G358,'RESTRIÇÕES'!C:C,D358,'RESTRIÇÕES'!F:F,"Sim")&gt;0,"Com restrição","Sem restrição"))</f>
        <v/>
      </c>
      <c r="M358" s="13" t="str">
        <f t="shared" si="2"/>
        <v/>
      </c>
    </row>
    <row r="359" ht="15.75" customHeight="1">
      <c r="A359" s="11" t="str">
        <f t="shared" si="3"/>
        <v/>
      </c>
      <c r="B359" s="28"/>
      <c r="C359" s="11" t="str">
        <f t="shared" si="4"/>
        <v/>
      </c>
      <c r="D359" s="10"/>
      <c r="E359" s="19"/>
      <c r="F359" s="19"/>
      <c r="G359" s="10"/>
      <c r="H359" s="11" t="str">
        <f>IF(G359="","",IFERROR(VLOOKUP(G359,PROFESSORES!A:B,2,FALSE),""))</f>
        <v/>
      </c>
      <c r="I359" s="10"/>
      <c r="J359" s="10"/>
      <c r="K359" s="11" t="str">
        <f>IF(OR(G359="",C359="",E359="",F359="",I359=""),"",IF(AND((COUNTIFS(DISPONIBILIDADE!A:A,G359,DISPONIBILIDADE!C:C,C359,DISPONIBILIDADE!D:D,"&lt;="&amp;E359,DISPONIBILIDADE!E:E,"&gt;="&amp;F359,DISPONIBILIDADE!F:F,I359,DISPONIBILIDADE!G:G,"Sim")+COUNTIFS(DISPONIBILIDADE!A:A,G359,DISPONIBILIDADE!C:C,C359,DISPONIBILIDADE!D:D,"&lt;="&amp;E359,DISPONIBILIDADE!E:E,"&gt;="&amp;F359,DISPONIBILIDADE!F:F,"Ambas",DISPONIBILIDADE!G:G,"Sim"))&gt;0,COUNTIFS($G$3:$G$502,G359,$B$3:$B$502,B359,$E$3:$E$502,"&lt;"&amp;F359,$F$3:$F$502,"&gt;"&amp;E359,$A$3:$A$502,"&lt;&gt;"&amp;A359)=0),"Sim","Não"))</f>
        <v/>
      </c>
      <c r="L359" s="11" t="str">
        <f>IF(OR(G359="",D359=""),"",IF(COUNTIFS('RESTRIÇÕES'!A:A,G359,'RESTRIÇÕES'!C:C,D359,'RESTRIÇÕES'!F:F,"Sim")&gt;0,"Com restrição","Sem restrição"))</f>
        <v/>
      </c>
      <c r="M359" s="11" t="str">
        <f t="shared" si="2"/>
        <v/>
      </c>
    </row>
    <row r="360" ht="15.75" customHeight="1">
      <c r="A360" s="13" t="str">
        <f t="shared" si="3"/>
        <v/>
      </c>
      <c r="B360" s="27"/>
      <c r="C360" s="13" t="str">
        <f t="shared" si="4"/>
        <v/>
      </c>
      <c r="D360" s="12"/>
      <c r="E360" s="21"/>
      <c r="F360" s="21"/>
      <c r="G360" s="12"/>
      <c r="H360" s="13" t="str">
        <f>IF(G360="","",IFERROR(VLOOKUP(G360,PROFESSORES!A:B,2,FALSE),""))</f>
        <v/>
      </c>
      <c r="I360" s="12"/>
      <c r="J360" s="12"/>
      <c r="K360" s="13" t="str">
        <f>IF(OR(G360="",C360="",E360="",F360="",I360=""),"",IF(AND((COUNTIFS(DISPONIBILIDADE!A:A,G360,DISPONIBILIDADE!C:C,C360,DISPONIBILIDADE!D:D,"&lt;="&amp;E360,DISPONIBILIDADE!E:E,"&gt;="&amp;F360,DISPONIBILIDADE!F:F,I360,DISPONIBILIDADE!G:G,"Sim")+COUNTIFS(DISPONIBILIDADE!A:A,G360,DISPONIBILIDADE!C:C,C360,DISPONIBILIDADE!D:D,"&lt;="&amp;E360,DISPONIBILIDADE!E:E,"&gt;="&amp;F360,DISPONIBILIDADE!F:F,"Ambas",DISPONIBILIDADE!G:G,"Sim"))&gt;0,COUNTIFS($G$3:$G$502,G360,$B$3:$B$502,B360,$E$3:$E$502,"&lt;"&amp;F360,$F$3:$F$502,"&gt;"&amp;E360,$A$3:$A$502,"&lt;&gt;"&amp;A360)=0),"Sim","Não"))</f>
        <v/>
      </c>
      <c r="L360" s="13" t="str">
        <f>IF(OR(G360="",D360=""),"",IF(COUNTIFS('RESTRIÇÕES'!A:A,G360,'RESTRIÇÕES'!C:C,D360,'RESTRIÇÕES'!F:F,"Sim")&gt;0,"Com restrição","Sem restrição"))</f>
        <v/>
      </c>
      <c r="M360" s="13" t="str">
        <f t="shared" si="2"/>
        <v/>
      </c>
    </row>
    <row r="361" ht="15.75" customHeight="1">
      <c r="A361" s="11" t="str">
        <f t="shared" si="3"/>
        <v/>
      </c>
      <c r="B361" s="28"/>
      <c r="C361" s="11" t="str">
        <f t="shared" si="4"/>
        <v/>
      </c>
      <c r="D361" s="10"/>
      <c r="E361" s="19"/>
      <c r="F361" s="19"/>
      <c r="G361" s="10"/>
      <c r="H361" s="11" t="str">
        <f>IF(G361="","",IFERROR(VLOOKUP(G361,PROFESSORES!A:B,2,FALSE),""))</f>
        <v/>
      </c>
      <c r="I361" s="10"/>
      <c r="J361" s="10"/>
      <c r="K361" s="11" t="str">
        <f>IF(OR(G361="",C361="",E361="",F361="",I361=""),"",IF(AND((COUNTIFS(DISPONIBILIDADE!A:A,G361,DISPONIBILIDADE!C:C,C361,DISPONIBILIDADE!D:D,"&lt;="&amp;E361,DISPONIBILIDADE!E:E,"&gt;="&amp;F361,DISPONIBILIDADE!F:F,I361,DISPONIBILIDADE!G:G,"Sim")+COUNTIFS(DISPONIBILIDADE!A:A,G361,DISPONIBILIDADE!C:C,C361,DISPONIBILIDADE!D:D,"&lt;="&amp;E361,DISPONIBILIDADE!E:E,"&gt;="&amp;F361,DISPONIBILIDADE!F:F,"Ambas",DISPONIBILIDADE!G:G,"Sim"))&gt;0,COUNTIFS($G$3:$G$502,G361,$B$3:$B$502,B361,$E$3:$E$502,"&lt;"&amp;F361,$F$3:$F$502,"&gt;"&amp;E361,$A$3:$A$502,"&lt;&gt;"&amp;A361)=0),"Sim","Não"))</f>
        <v/>
      </c>
      <c r="L361" s="11" t="str">
        <f>IF(OR(G361="",D361=""),"",IF(COUNTIFS('RESTRIÇÕES'!A:A,G361,'RESTRIÇÕES'!C:C,D361,'RESTRIÇÕES'!F:F,"Sim")&gt;0,"Com restrição","Sem restrição"))</f>
        <v/>
      </c>
      <c r="M361" s="11" t="str">
        <f t="shared" si="2"/>
        <v/>
      </c>
    </row>
    <row r="362" ht="15.75" customHeight="1">
      <c r="A362" s="13" t="str">
        <f t="shared" si="3"/>
        <v/>
      </c>
      <c r="B362" s="27"/>
      <c r="C362" s="13" t="str">
        <f t="shared" si="4"/>
        <v/>
      </c>
      <c r="D362" s="12"/>
      <c r="E362" s="21"/>
      <c r="F362" s="21"/>
      <c r="G362" s="12"/>
      <c r="H362" s="13" t="str">
        <f>IF(G362="","",IFERROR(VLOOKUP(G362,PROFESSORES!A:B,2,FALSE),""))</f>
        <v/>
      </c>
      <c r="I362" s="12"/>
      <c r="J362" s="12"/>
      <c r="K362" s="13" t="str">
        <f>IF(OR(G362="",C362="",E362="",F362="",I362=""),"",IF(AND((COUNTIFS(DISPONIBILIDADE!A:A,G362,DISPONIBILIDADE!C:C,C362,DISPONIBILIDADE!D:D,"&lt;="&amp;E362,DISPONIBILIDADE!E:E,"&gt;="&amp;F362,DISPONIBILIDADE!F:F,I362,DISPONIBILIDADE!G:G,"Sim")+COUNTIFS(DISPONIBILIDADE!A:A,G362,DISPONIBILIDADE!C:C,C362,DISPONIBILIDADE!D:D,"&lt;="&amp;E362,DISPONIBILIDADE!E:E,"&gt;="&amp;F362,DISPONIBILIDADE!F:F,"Ambas",DISPONIBILIDADE!G:G,"Sim"))&gt;0,COUNTIFS($G$3:$G$502,G362,$B$3:$B$502,B362,$E$3:$E$502,"&lt;"&amp;F362,$F$3:$F$502,"&gt;"&amp;E362,$A$3:$A$502,"&lt;&gt;"&amp;A362)=0),"Sim","Não"))</f>
        <v/>
      </c>
      <c r="L362" s="13" t="str">
        <f>IF(OR(G362="",D362=""),"",IF(COUNTIFS('RESTRIÇÕES'!A:A,G362,'RESTRIÇÕES'!C:C,D362,'RESTRIÇÕES'!F:F,"Sim")&gt;0,"Com restrição","Sem restrição"))</f>
        <v/>
      </c>
      <c r="M362" s="13" t="str">
        <f t="shared" si="2"/>
        <v/>
      </c>
    </row>
    <row r="363" ht="15.75" customHeight="1">
      <c r="A363" s="11" t="str">
        <f t="shared" si="3"/>
        <v/>
      </c>
      <c r="B363" s="28"/>
      <c r="C363" s="11" t="str">
        <f t="shared" si="4"/>
        <v/>
      </c>
      <c r="D363" s="10"/>
      <c r="E363" s="19"/>
      <c r="F363" s="19"/>
      <c r="G363" s="10"/>
      <c r="H363" s="11" t="str">
        <f>IF(G363="","",IFERROR(VLOOKUP(G363,PROFESSORES!A:B,2,FALSE),""))</f>
        <v/>
      </c>
      <c r="I363" s="10"/>
      <c r="J363" s="10"/>
      <c r="K363" s="11" t="str">
        <f>IF(OR(G363="",C363="",E363="",F363="",I363=""),"",IF(AND((COUNTIFS(DISPONIBILIDADE!A:A,G363,DISPONIBILIDADE!C:C,C363,DISPONIBILIDADE!D:D,"&lt;="&amp;E363,DISPONIBILIDADE!E:E,"&gt;="&amp;F363,DISPONIBILIDADE!F:F,I363,DISPONIBILIDADE!G:G,"Sim")+COUNTIFS(DISPONIBILIDADE!A:A,G363,DISPONIBILIDADE!C:C,C363,DISPONIBILIDADE!D:D,"&lt;="&amp;E363,DISPONIBILIDADE!E:E,"&gt;="&amp;F363,DISPONIBILIDADE!F:F,"Ambas",DISPONIBILIDADE!G:G,"Sim"))&gt;0,COUNTIFS($G$3:$G$502,G363,$B$3:$B$502,B363,$E$3:$E$502,"&lt;"&amp;F363,$F$3:$F$502,"&gt;"&amp;E363,$A$3:$A$502,"&lt;&gt;"&amp;A363)=0),"Sim","Não"))</f>
        <v/>
      </c>
      <c r="L363" s="11" t="str">
        <f>IF(OR(G363="",D363=""),"",IF(COUNTIFS('RESTRIÇÕES'!A:A,G363,'RESTRIÇÕES'!C:C,D363,'RESTRIÇÕES'!F:F,"Sim")&gt;0,"Com restrição","Sem restrição"))</f>
        <v/>
      </c>
      <c r="M363" s="11" t="str">
        <f t="shared" si="2"/>
        <v/>
      </c>
    </row>
    <row r="364" ht="15.75" customHeight="1">
      <c r="A364" s="13" t="str">
        <f t="shared" si="3"/>
        <v/>
      </c>
      <c r="B364" s="27"/>
      <c r="C364" s="13" t="str">
        <f t="shared" si="4"/>
        <v/>
      </c>
      <c r="D364" s="12"/>
      <c r="E364" s="21"/>
      <c r="F364" s="21"/>
      <c r="G364" s="12"/>
      <c r="H364" s="13" t="str">
        <f>IF(G364="","",IFERROR(VLOOKUP(G364,PROFESSORES!A:B,2,FALSE),""))</f>
        <v/>
      </c>
      <c r="I364" s="12"/>
      <c r="J364" s="12"/>
      <c r="K364" s="13" t="str">
        <f>IF(OR(G364="",C364="",E364="",F364="",I364=""),"",IF(AND((COUNTIFS(DISPONIBILIDADE!A:A,G364,DISPONIBILIDADE!C:C,C364,DISPONIBILIDADE!D:D,"&lt;="&amp;E364,DISPONIBILIDADE!E:E,"&gt;="&amp;F364,DISPONIBILIDADE!F:F,I364,DISPONIBILIDADE!G:G,"Sim")+COUNTIFS(DISPONIBILIDADE!A:A,G364,DISPONIBILIDADE!C:C,C364,DISPONIBILIDADE!D:D,"&lt;="&amp;E364,DISPONIBILIDADE!E:E,"&gt;="&amp;F364,DISPONIBILIDADE!F:F,"Ambas",DISPONIBILIDADE!G:G,"Sim"))&gt;0,COUNTIFS($G$3:$G$502,G364,$B$3:$B$502,B364,$E$3:$E$502,"&lt;"&amp;F364,$F$3:$F$502,"&gt;"&amp;E364,$A$3:$A$502,"&lt;&gt;"&amp;A364)=0),"Sim","Não"))</f>
        <v/>
      </c>
      <c r="L364" s="13" t="str">
        <f>IF(OR(G364="",D364=""),"",IF(COUNTIFS('RESTRIÇÕES'!A:A,G364,'RESTRIÇÕES'!C:C,D364,'RESTRIÇÕES'!F:F,"Sim")&gt;0,"Com restrição","Sem restrição"))</f>
        <v/>
      </c>
      <c r="M364" s="13" t="str">
        <f t="shared" si="2"/>
        <v/>
      </c>
    </row>
    <row r="365" ht="15.75" customHeight="1">
      <c r="A365" s="11" t="str">
        <f t="shared" si="3"/>
        <v/>
      </c>
      <c r="B365" s="28"/>
      <c r="C365" s="11" t="str">
        <f t="shared" si="4"/>
        <v/>
      </c>
      <c r="D365" s="10"/>
      <c r="E365" s="19"/>
      <c r="F365" s="19"/>
      <c r="G365" s="10"/>
      <c r="H365" s="11" t="str">
        <f>IF(G365="","",IFERROR(VLOOKUP(G365,PROFESSORES!A:B,2,FALSE),""))</f>
        <v/>
      </c>
      <c r="I365" s="10"/>
      <c r="J365" s="10"/>
      <c r="K365" s="11" t="str">
        <f>IF(OR(G365="",C365="",E365="",F365="",I365=""),"",IF(AND((COUNTIFS(DISPONIBILIDADE!A:A,G365,DISPONIBILIDADE!C:C,C365,DISPONIBILIDADE!D:D,"&lt;="&amp;E365,DISPONIBILIDADE!E:E,"&gt;="&amp;F365,DISPONIBILIDADE!F:F,I365,DISPONIBILIDADE!G:G,"Sim")+COUNTIFS(DISPONIBILIDADE!A:A,G365,DISPONIBILIDADE!C:C,C365,DISPONIBILIDADE!D:D,"&lt;="&amp;E365,DISPONIBILIDADE!E:E,"&gt;="&amp;F365,DISPONIBILIDADE!F:F,"Ambas",DISPONIBILIDADE!G:G,"Sim"))&gt;0,COUNTIFS($G$3:$G$502,G365,$B$3:$B$502,B365,$E$3:$E$502,"&lt;"&amp;F365,$F$3:$F$502,"&gt;"&amp;E365,$A$3:$A$502,"&lt;&gt;"&amp;A365)=0),"Sim","Não"))</f>
        <v/>
      </c>
      <c r="L365" s="11" t="str">
        <f>IF(OR(G365="",D365=""),"",IF(COUNTIFS('RESTRIÇÕES'!A:A,G365,'RESTRIÇÕES'!C:C,D365,'RESTRIÇÕES'!F:F,"Sim")&gt;0,"Com restrição","Sem restrição"))</f>
        <v/>
      </c>
      <c r="M365" s="11" t="str">
        <f t="shared" si="2"/>
        <v/>
      </c>
    </row>
    <row r="366" ht="15.75" customHeight="1">
      <c r="A366" s="13" t="str">
        <f t="shared" si="3"/>
        <v/>
      </c>
      <c r="B366" s="27"/>
      <c r="C366" s="13" t="str">
        <f t="shared" si="4"/>
        <v/>
      </c>
      <c r="D366" s="12"/>
      <c r="E366" s="21"/>
      <c r="F366" s="21"/>
      <c r="G366" s="12"/>
      <c r="H366" s="13" t="str">
        <f>IF(G366="","",IFERROR(VLOOKUP(G366,PROFESSORES!A:B,2,FALSE),""))</f>
        <v/>
      </c>
      <c r="I366" s="12"/>
      <c r="J366" s="12"/>
      <c r="K366" s="13" t="str">
        <f>IF(OR(G366="",C366="",E366="",F366="",I366=""),"",IF(AND((COUNTIFS(DISPONIBILIDADE!A:A,G366,DISPONIBILIDADE!C:C,C366,DISPONIBILIDADE!D:D,"&lt;="&amp;E366,DISPONIBILIDADE!E:E,"&gt;="&amp;F366,DISPONIBILIDADE!F:F,I366,DISPONIBILIDADE!G:G,"Sim")+COUNTIFS(DISPONIBILIDADE!A:A,G366,DISPONIBILIDADE!C:C,C366,DISPONIBILIDADE!D:D,"&lt;="&amp;E366,DISPONIBILIDADE!E:E,"&gt;="&amp;F366,DISPONIBILIDADE!F:F,"Ambas",DISPONIBILIDADE!G:G,"Sim"))&gt;0,COUNTIFS($G$3:$G$502,G366,$B$3:$B$502,B366,$E$3:$E$502,"&lt;"&amp;F366,$F$3:$F$502,"&gt;"&amp;E366,$A$3:$A$502,"&lt;&gt;"&amp;A366)=0),"Sim","Não"))</f>
        <v/>
      </c>
      <c r="L366" s="13" t="str">
        <f>IF(OR(G366="",D366=""),"",IF(COUNTIFS('RESTRIÇÕES'!A:A,G366,'RESTRIÇÕES'!C:C,D366,'RESTRIÇÕES'!F:F,"Sim")&gt;0,"Com restrição","Sem restrição"))</f>
        <v/>
      </c>
      <c r="M366" s="13" t="str">
        <f t="shared" si="2"/>
        <v/>
      </c>
    </row>
    <row r="367" ht="15.75" customHeight="1">
      <c r="A367" s="11" t="str">
        <f t="shared" si="3"/>
        <v/>
      </c>
      <c r="B367" s="28"/>
      <c r="C367" s="11" t="str">
        <f t="shared" si="4"/>
        <v/>
      </c>
      <c r="D367" s="10"/>
      <c r="E367" s="19"/>
      <c r="F367" s="19"/>
      <c r="G367" s="10"/>
      <c r="H367" s="11" t="str">
        <f>IF(G367="","",IFERROR(VLOOKUP(G367,PROFESSORES!A:B,2,FALSE),""))</f>
        <v/>
      </c>
      <c r="I367" s="10"/>
      <c r="J367" s="10"/>
      <c r="K367" s="11" t="str">
        <f>IF(OR(G367="",C367="",E367="",F367="",I367=""),"",IF(AND((COUNTIFS(DISPONIBILIDADE!A:A,G367,DISPONIBILIDADE!C:C,C367,DISPONIBILIDADE!D:D,"&lt;="&amp;E367,DISPONIBILIDADE!E:E,"&gt;="&amp;F367,DISPONIBILIDADE!F:F,I367,DISPONIBILIDADE!G:G,"Sim")+COUNTIFS(DISPONIBILIDADE!A:A,G367,DISPONIBILIDADE!C:C,C367,DISPONIBILIDADE!D:D,"&lt;="&amp;E367,DISPONIBILIDADE!E:E,"&gt;="&amp;F367,DISPONIBILIDADE!F:F,"Ambas",DISPONIBILIDADE!G:G,"Sim"))&gt;0,COUNTIFS($G$3:$G$502,G367,$B$3:$B$502,B367,$E$3:$E$502,"&lt;"&amp;F367,$F$3:$F$502,"&gt;"&amp;E367,$A$3:$A$502,"&lt;&gt;"&amp;A367)=0),"Sim","Não"))</f>
        <v/>
      </c>
      <c r="L367" s="11" t="str">
        <f>IF(OR(G367="",D367=""),"",IF(COUNTIFS('RESTRIÇÕES'!A:A,G367,'RESTRIÇÕES'!C:C,D367,'RESTRIÇÕES'!F:F,"Sim")&gt;0,"Com restrição","Sem restrição"))</f>
        <v/>
      </c>
      <c r="M367" s="11" t="str">
        <f t="shared" si="2"/>
        <v/>
      </c>
    </row>
    <row r="368" ht="15.75" customHeight="1">
      <c r="A368" s="13" t="str">
        <f t="shared" si="3"/>
        <v/>
      </c>
      <c r="B368" s="27"/>
      <c r="C368" s="13" t="str">
        <f t="shared" si="4"/>
        <v/>
      </c>
      <c r="D368" s="12"/>
      <c r="E368" s="21"/>
      <c r="F368" s="21"/>
      <c r="G368" s="12"/>
      <c r="H368" s="13" t="str">
        <f>IF(G368="","",IFERROR(VLOOKUP(G368,PROFESSORES!A:B,2,FALSE),""))</f>
        <v/>
      </c>
      <c r="I368" s="12"/>
      <c r="J368" s="12"/>
      <c r="K368" s="13" t="str">
        <f>IF(OR(G368="",C368="",E368="",F368="",I368=""),"",IF(AND((COUNTIFS(DISPONIBILIDADE!A:A,G368,DISPONIBILIDADE!C:C,C368,DISPONIBILIDADE!D:D,"&lt;="&amp;E368,DISPONIBILIDADE!E:E,"&gt;="&amp;F368,DISPONIBILIDADE!F:F,I368,DISPONIBILIDADE!G:G,"Sim")+COUNTIFS(DISPONIBILIDADE!A:A,G368,DISPONIBILIDADE!C:C,C368,DISPONIBILIDADE!D:D,"&lt;="&amp;E368,DISPONIBILIDADE!E:E,"&gt;="&amp;F368,DISPONIBILIDADE!F:F,"Ambas",DISPONIBILIDADE!G:G,"Sim"))&gt;0,COUNTIFS($G$3:$G$502,G368,$B$3:$B$502,B368,$E$3:$E$502,"&lt;"&amp;F368,$F$3:$F$502,"&gt;"&amp;E368,$A$3:$A$502,"&lt;&gt;"&amp;A368)=0),"Sim","Não"))</f>
        <v/>
      </c>
      <c r="L368" s="13" t="str">
        <f>IF(OR(G368="",D368=""),"",IF(COUNTIFS('RESTRIÇÕES'!A:A,G368,'RESTRIÇÕES'!C:C,D368,'RESTRIÇÕES'!F:F,"Sim")&gt;0,"Com restrição","Sem restrição"))</f>
        <v/>
      </c>
      <c r="M368" s="13" t="str">
        <f t="shared" si="2"/>
        <v/>
      </c>
    </row>
    <row r="369" ht="15.75" customHeight="1">
      <c r="A369" s="11" t="str">
        <f t="shared" si="3"/>
        <v/>
      </c>
      <c r="B369" s="28"/>
      <c r="C369" s="11" t="str">
        <f t="shared" si="4"/>
        <v/>
      </c>
      <c r="D369" s="10"/>
      <c r="E369" s="19"/>
      <c r="F369" s="19"/>
      <c r="G369" s="10"/>
      <c r="H369" s="11" t="str">
        <f>IF(G369="","",IFERROR(VLOOKUP(G369,PROFESSORES!A:B,2,FALSE),""))</f>
        <v/>
      </c>
      <c r="I369" s="10"/>
      <c r="J369" s="10"/>
      <c r="K369" s="11" t="str">
        <f>IF(OR(G369="",C369="",E369="",F369="",I369=""),"",IF(AND((COUNTIFS(DISPONIBILIDADE!A:A,G369,DISPONIBILIDADE!C:C,C369,DISPONIBILIDADE!D:D,"&lt;="&amp;E369,DISPONIBILIDADE!E:E,"&gt;="&amp;F369,DISPONIBILIDADE!F:F,I369,DISPONIBILIDADE!G:G,"Sim")+COUNTIFS(DISPONIBILIDADE!A:A,G369,DISPONIBILIDADE!C:C,C369,DISPONIBILIDADE!D:D,"&lt;="&amp;E369,DISPONIBILIDADE!E:E,"&gt;="&amp;F369,DISPONIBILIDADE!F:F,"Ambas",DISPONIBILIDADE!G:G,"Sim"))&gt;0,COUNTIFS($G$3:$G$502,G369,$B$3:$B$502,B369,$E$3:$E$502,"&lt;"&amp;F369,$F$3:$F$502,"&gt;"&amp;E369,$A$3:$A$502,"&lt;&gt;"&amp;A369)=0),"Sim","Não"))</f>
        <v/>
      </c>
      <c r="L369" s="11" t="str">
        <f>IF(OR(G369="",D369=""),"",IF(COUNTIFS('RESTRIÇÕES'!A:A,G369,'RESTRIÇÕES'!C:C,D369,'RESTRIÇÕES'!F:F,"Sim")&gt;0,"Com restrição","Sem restrição"))</f>
        <v/>
      </c>
      <c r="M369" s="11" t="str">
        <f t="shared" si="2"/>
        <v/>
      </c>
    </row>
    <row r="370" ht="15.75" customHeight="1">
      <c r="A370" s="13" t="str">
        <f t="shared" si="3"/>
        <v/>
      </c>
      <c r="B370" s="27"/>
      <c r="C370" s="13" t="str">
        <f t="shared" si="4"/>
        <v/>
      </c>
      <c r="D370" s="12"/>
      <c r="E370" s="21"/>
      <c r="F370" s="21"/>
      <c r="G370" s="12"/>
      <c r="H370" s="13" t="str">
        <f>IF(G370="","",IFERROR(VLOOKUP(G370,PROFESSORES!A:B,2,FALSE),""))</f>
        <v/>
      </c>
      <c r="I370" s="12"/>
      <c r="J370" s="12"/>
      <c r="K370" s="13" t="str">
        <f>IF(OR(G370="",C370="",E370="",F370="",I370=""),"",IF(AND((COUNTIFS(DISPONIBILIDADE!A:A,G370,DISPONIBILIDADE!C:C,C370,DISPONIBILIDADE!D:D,"&lt;="&amp;E370,DISPONIBILIDADE!E:E,"&gt;="&amp;F370,DISPONIBILIDADE!F:F,I370,DISPONIBILIDADE!G:G,"Sim")+COUNTIFS(DISPONIBILIDADE!A:A,G370,DISPONIBILIDADE!C:C,C370,DISPONIBILIDADE!D:D,"&lt;="&amp;E370,DISPONIBILIDADE!E:E,"&gt;="&amp;F370,DISPONIBILIDADE!F:F,"Ambas",DISPONIBILIDADE!G:G,"Sim"))&gt;0,COUNTIFS($G$3:$G$502,G370,$B$3:$B$502,B370,$E$3:$E$502,"&lt;"&amp;F370,$F$3:$F$502,"&gt;"&amp;E370,$A$3:$A$502,"&lt;&gt;"&amp;A370)=0),"Sim","Não"))</f>
        <v/>
      </c>
      <c r="L370" s="13" t="str">
        <f>IF(OR(G370="",D370=""),"",IF(COUNTIFS('RESTRIÇÕES'!A:A,G370,'RESTRIÇÕES'!C:C,D370,'RESTRIÇÕES'!F:F,"Sim")&gt;0,"Com restrição","Sem restrição"))</f>
        <v/>
      </c>
      <c r="M370" s="13" t="str">
        <f t="shared" si="2"/>
        <v/>
      </c>
    </row>
    <row r="371" ht="15.75" customHeight="1">
      <c r="A371" s="11" t="str">
        <f t="shared" si="3"/>
        <v/>
      </c>
      <c r="B371" s="28"/>
      <c r="C371" s="11" t="str">
        <f t="shared" si="4"/>
        <v/>
      </c>
      <c r="D371" s="10"/>
      <c r="E371" s="19"/>
      <c r="F371" s="19"/>
      <c r="G371" s="10"/>
      <c r="H371" s="11" t="str">
        <f>IF(G371="","",IFERROR(VLOOKUP(G371,PROFESSORES!A:B,2,FALSE),""))</f>
        <v/>
      </c>
      <c r="I371" s="10"/>
      <c r="J371" s="10"/>
      <c r="K371" s="11" t="str">
        <f>IF(OR(G371="",C371="",E371="",F371="",I371=""),"",IF(AND((COUNTIFS(DISPONIBILIDADE!A:A,G371,DISPONIBILIDADE!C:C,C371,DISPONIBILIDADE!D:D,"&lt;="&amp;E371,DISPONIBILIDADE!E:E,"&gt;="&amp;F371,DISPONIBILIDADE!F:F,I371,DISPONIBILIDADE!G:G,"Sim")+COUNTIFS(DISPONIBILIDADE!A:A,G371,DISPONIBILIDADE!C:C,C371,DISPONIBILIDADE!D:D,"&lt;="&amp;E371,DISPONIBILIDADE!E:E,"&gt;="&amp;F371,DISPONIBILIDADE!F:F,"Ambas",DISPONIBILIDADE!G:G,"Sim"))&gt;0,COUNTIFS($G$3:$G$502,G371,$B$3:$B$502,B371,$E$3:$E$502,"&lt;"&amp;F371,$F$3:$F$502,"&gt;"&amp;E371,$A$3:$A$502,"&lt;&gt;"&amp;A371)=0),"Sim","Não"))</f>
        <v/>
      </c>
      <c r="L371" s="11" t="str">
        <f>IF(OR(G371="",D371=""),"",IF(COUNTIFS('RESTRIÇÕES'!A:A,G371,'RESTRIÇÕES'!C:C,D371,'RESTRIÇÕES'!F:F,"Sim")&gt;0,"Com restrição","Sem restrição"))</f>
        <v/>
      </c>
      <c r="M371" s="11" t="str">
        <f t="shared" si="2"/>
        <v/>
      </c>
    </row>
    <row r="372" ht="15.75" customHeight="1">
      <c r="A372" s="13" t="str">
        <f t="shared" si="3"/>
        <v/>
      </c>
      <c r="B372" s="27"/>
      <c r="C372" s="13" t="str">
        <f t="shared" si="4"/>
        <v/>
      </c>
      <c r="D372" s="12"/>
      <c r="E372" s="21"/>
      <c r="F372" s="21"/>
      <c r="G372" s="12"/>
      <c r="H372" s="13" t="str">
        <f>IF(G372="","",IFERROR(VLOOKUP(G372,PROFESSORES!A:B,2,FALSE),""))</f>
        <v/>
      </c>
      <c r="I372" s="12"/>
      <c r="J372" s="12"/>
      <c r="K372" s="13" t="str">
        <f>IF(OR(G372="",C372="",E372="",F372="",I372=""),"",IF(AND((COUNTIFS(DISPONIBILIDADE!A:A,G372,DISPONIBILIDADE!C:C,C372,DISPONIBILIDADE!D:D,"&lt;="&amp;E372,DISPONIBILIDADE!E:E,"&gt;="&amp;F372,DISPONIBILIDADE!F:F,I372,DISPONIBILIDADE!G:G,"Sim")+COUNTIFS(DISPONIBILIDADE!A:A,G372,DISPONIBILIDADE!C:C,C372,DISPONIBILIDADE!D:D,"&lt;="&amp;E372,DISPONIBILIDADE!E:E,"&gt;="&amp;F372,DISPONIBILIDADE!F:F,"Ambas",DISPONIBILIDADE!G:G,"Sim"))&gt;0,COUNTIFS($G$3:$G$502,G372,$B$3:$B$502,B372,$E$3:$E$502,"&lt;"&amp;F372,$F$3:$F$502,"&gt;"&amp;E372,$A$3:$A$502,"&lt;&gt;"&amp;A372)=0),"Sim","Não"))</f>
        <v/>
      </c>
      <c r="L372" s="13" t="str">
        <f>IF(OR(G372="",D372=""),"",IF(COUNTIFS('RESTRIÇÕES'!A:A,G372,'RESTRIÇÕES'!C:C,D372,'RESTRIÇÕES'!F:F,"Sim")&gt;0,"Com restrição","Sem restrição"))</f>
        <v/>
      </c>
      <c r="M372" s="13" t="str">
        <f t="shared" si="2"/>
        <v/>
      </c>
    </row>
    <row r="373" ht="15.75" customHeight="1">
      <c r="A373" s="11" t="str">
        <f t="shared" si="3"/>
        <v/>
      </c>
      <c r="B373" s="28"/>
      <c r="C373" s="11" t="str">
        <f t="shared" si="4"/>
        <v/>
      </c>
      <c r="D373" s="10"/>
      <c r="E373" s="19"/>
      <c r="F373" s="19"/>
      <c r="G373" s="10"/>
      <c r="H373" s="11" t="str">
        <f>IF(G373="","",IFERROR(VLOOKUP(G373,PROFESSORES!A:B,2,FALSE),""))</f>
        <v/>
      </c>
      <c r="I373" s="10"/>
      <c r="J373" s="10"/>
      <c r="K373" s="11" t="str">
        <f>IF(OR(G373="",C373="",E373="",F373="",I373=""),"",IF(AND((COUNTIFS(DISPONIBILIDADE!A:A,G373,DISPONIBILIDADE!C:C,C373,DISPONIBILIDADE!D:D,"&lt;="&amp;E373,DISPONIBILIDADE!E:E,"&gt;="&amp;F373,DISPONIBILIDADE!F:F,I373,DISPONIBILIDADE!G:G,"Sim")+COUNTIFS(DISPONIBILIDADE!A:A,G373,DISPONIBILIDADE!C:C,C373,DISPONIBILIDADE!D:D,"&lt;="&amp;E373,DISPONIBILIDADE!E:E,"&gt;="&amp;F373,DISPONIBILIDADE!F:F,"Ambas",DISPONIBILIDADE!G:G,"Sim"))&gt;0,COUNTIFS($G$3:$G$502,G373,$B$3:$B$502,B373,$E$3:$E$502,"&lt;"&amp;F373,$F$3:$F$502,"&gt;"&amp;E373,$A$3:$A$502,"&lt;&gt;"&amp;A373)=0),"Sim","Não"))</f>
        <v/>
      </c>
      <c r="L373" s="11" t="str">
        <f>IF(OR(G373="",D373=""),"",IF(COUNTIFS('RESTRIÇÕES'!A:A,G373,'RESTRIÇÕES'!C:C,D373,'RESTRIÇÕES'!F:F,"Sim")&gt;0,"Com restrição","Sem restrição"))</f>
        <v/>
      </c>
      <c r="M373" s="11" t="str">
        <f t="shared" si="2"/>
        <v/>
      </c>
    </row>
    <row r="374" ht="15.75" customHeight="1">
      <c r="A374" s="13" t="str">
        <f t="shared" si="3"/>
        <v/>
      </c>
      <c r="B374" s="27"/>
      <c r="C374" s="13" t="str">
        <f t="shared" si="4"/>
        <v/>
      </c>
      <c r="D374" s="12"/>
      <c r="E374" s="21"/>
      <c r="F374" s="21"/>
      <c r="G374" s="12"/>
      <c r="H374" s="13" t="str">
        <f>IF(G374="","",IFERROR(VLOOKUP(G374,PROFESSORES!A:B,2,FALSE),""))</f>
        <v/>
      </c>
      <c r="I374" s="12"/>
      <c r="J374" s="12"/>
      <c r="K374" s="13" t="str">
        <f>IF(OR(G374="",C374="",E374="",F374="",I374=""),"",IF(AND((COUNTIFS(DISPONIBILIDADE!A:A,G374,DISPONIBILIDADE!C:C,C374,DISPONIBILIDADE!D:D,"&lt;="&amp;E374,DISPONIBILIDADE!E:E,"&gt;="&amp;F374,DISPONIBILIDADE!F:F,I374,DISPONIBILIDADE!G:G,"Sim")+COUNTIFS(DISPONIBILIDADE!A:A,G374,DISPONIBILIDADE!C:C,C374,DISPONIBILIDADE!D:D,"&lt;="&amp;E374,DISPONIBILIDADE!E:E,"&gt;="&amp;F374,DISPONIBILIDADE!F:F,"Ambas",DISPONIBILIDADE!G:G,"Sim"))&gt;0,COUNTIFS($G$3:$G$502,G374,$B$3:$B$502,B374,$E$3:$E$502,"&lt;"&amp;F374,$F$3:$F$502,"&gt;"&amp;E374,$A$3:$A$502,"&lt;&gt;"&amp;A374)=0),"Sim","Não"))</f>
        <v/>
      </c>
      <c r="L374" s="13" t="str">
        <f>IF(OR(G374="",D374=""),"",IF(COUNTIFS('RESTRIÇÕES'!A:A,G374,'RESTRIÇÕES'!C:C,D374,'RESTRIÇÕES'!F:F,"Sim")&gt;0,"Com restrição","Sem restrição"))</f>
        <v/>
      </c>
      <c r="M374" s="13" t="str">
        <f t="shared" si="2"/>
        <v/>
      </c>
    </row>
    <row r="375" ht="15.75" customHeight="1">
      <c r="A375" s="11" t="str">
        <f t="shared" si="3"/>
        <v/>
      </c>
      <c r="B375" s="28"/>
      <c r="C375" s="11" t="str">
        <f t="shared" si="4"/>
        <v/>
      </c>
      <c r="D375" s="10"/>
      <c r="E375" s="19"/>
      <c r="F375" s="19"/>
      <c r="G375" s="10"/>
      <c r="H375" s="11" t="str">
        <f>IF(G375="","",IFERROR(VLOOKUP(G375,PROFESSORES!A:B,2,FALSE),""))</f>
        <v/>
      </c>
      <c r="I375" s="10"/>
      <c r="J375" s="10"/>
      <c r="K375" s="11" t="str">
        <f>IF(OR(G375="",C375="",E375="",F375="",I375=""),"",IF(AND((COUNTIFS(DISPONIBILIDADE!A:A,G375,DISPONIBILIDADE!C:C,C375,DISPONIBILIDADE!D:D,"&lt;="&amp;E375,DISPONIBILIDADE!E:E,"&gt;="&amp;F375,DISPONIBILIDADE!F:F,I375,DISPONIBILIDADE!G:G,"Sim")+COUNTIFS(DISPONIBILIDADE!A:A,G375,DISPONIBILIDADE!C:C,C375,DISPONIBILIDADE!D:D,"&lt;="&amp;E375,DISPONIBILIDADE!E:E,"&gt;="&amp;F375,DISPONIBILIDADE!F:F,"Ambas",DISPONIBILIDADE!G:G,"Sim"))&gt;0,COUNTIFS($G$3:$G$502,G375,$B$3:$B$502,B375,$E$3:$E$502,"&lt;"&amp;F375,$F$3:$F$502,"&gt;"&amp;E375,$A$3:$A$502,"&lt;&gt;"&amp;A375)=0),"Sim","Não"))</f>
        <v/>
      </c>
      <c r="L375" s="11" t="str">
        <f>IF(OR(G375="",D375=""),"",IF(COUNTIFS('RESTRIÇÕES'!A:A,G375,'RESTRIÇÕES'!C:C,D375,'RESTRIÇÕES'!F:F,"Sim")&gt;0,"Com restrição","Sem restrição"))</f>
        <v/>
      </c>
      <c r="M375" s="11" t="str">
        <f t="shared" si="2"/>
        <v/>
      </c>
    </row>
    <row r="376" ht="15.75" customHeight="1">
      <c r="A376" s="13" t="str">
        <f t="shared" si="3"/>
        <v/>
      </c>
      <c r="B376" s="27"/>
      <c r="C376" s="13" t="str">
        <f t="shared" si="4"/>
        <v/>
      </c>
      <c r="D376" s="12"/>
      <c r="E376" s="21"/>
      <c r="F376" s="21"/>
      <c r="G376" s="12"/>
      <c r="H376" s="13" t="str">
        <f>IF(G376="","",IFERROR(VLOOKUP(G376,PROFESSORES!A:B,2,FALSE),""))</f>
        <v/>
      </c>
      <c r="I376" s="12"/>
      <c r="J376" s="12"/>
      <c r="K376" s="13" t="str">
        <f>IF(OR(G376="",C376="",E376="",F376="",I376=""),"",IF(AND((COUNTIFS(DISPONIBILIDADE!A:A,G376,DISPONIBILIDADE!C:C,C376,DISPONIBILIDADE!D:D,"&lt;="&amp;E376,DISPONIBILIDADE!E:E,"&gt;="&amp;F376,DISPONIBILIDADE!F:F,I376,DISPONIBILIDADE!G:G,"Sim")+COUNTIFS(DISPONIBILIDADE!A:A,G376,DISPONIBILIDADE!C:C,C376,DISPONIBILIDADE!D:D,"&lt;="&amp;E376,DISPONIBILIDADE!E:E,"&gt;="&amp;F376,DISPONIBILIDADE!F:F,"Ambas",DISPONIBILIDADE!G:G,"Sim"))&gt;0,COUNTIFS($G$3:$G$502,G376,$B$3:$B$502,B376,$E$3:$E$502,"&lt;"&amp;F376,$F$3:$F$502,"&gt;"&amp;E376,$A$3:$A$502,"&lt;&gt;"&amp;A376)=0),"Sim","Não"))</f>
        <v/>
      </c>
      <c r="L376" s="13" t="str">
        <f>IF(OR(G376="",D376=""),"",IF(COUNTIFS('RESTRIÇÕES'!A:A,G376,'RESTRIÇÕES'!C:C,D376,'RESTRIÇÕES'!F:F,"Sim")&gt;0,"Com restrição","Sem restrição"))</f>
        <v/>
      </c>
      <c r="M376" s="13" t="str">
        <f t="shared" si="2"/>
        <v/>
      </c>
    </row>
    <row r="377" ht="15.75" customHeight="1">
      <c r="A377" s="11" t="str">
        <f t="shared" si="3"/>
        <v/>
      </c>
      <c r="B377" s="28"/>
      <c r="C377" s="11" t="str">
        <f t="shared" si="4"/>
        <v/>
      </c>
      <c r="D377" s="10"/>
      <c r="E377" s="19"/>
      <c r="F377" s="19"/>
      <c r="G377" s="10"/>
      <c r="H377" s="11" t="str">
        <f>IF(G377="","",IFERROR(VLOOKUP(G377,PROFESSORES!A:B,2,FALSE),""))</f>
        <v/>
      </c>
      <c r="I377" s="10"/>
      <c r="J377" s="10"/>
      <c r="K377" s="11" t="str">
        <f>IF(OR(G377="",C377="",E377="",F377="",I377=""),"",IF(AND((COUNTIFS(DISPONIBILIDADE!A:A,G377,DISPONIBILIDADE!C:C,C377,DISPONIBILIDADE!D:D,"&lt;="&amp;E377,DISPONIBILIDADE!E:E,"&gt;="&amp;F377,DISPONIBILIDADE!F:F,I377,DISPONIBILIDADE!G:G,"Sim")+COUNTIFS(DISPONIBILIDADE!A:A,G377,DISPONIBILIDADE!C:C,C377,DISPONIBILIDADE!D:D,"&lt;="&amp;E377,DISPONIBILIDADE!E:E,"&gt;="&amp;F377,DISPONIBILIDADE!F:F,"Ambas",DISPONIBILIDADE!G:G,"Sim"))&gt;0,COUNTIFS($G$3:$G$502,G377,$B$3:$B$502,B377,$E$3:$E$502,"&lt;"&amp;F377,$F$3:$F$502,"&gt;"&amp;E377,$A$3:$A$502,"&lt;&gt;"&amp;A377)=0),"Sim","Não"))</f>
        <v/>
      </c>
      <c r="L377" s="11" t="str">
        <f>IF(OR(G377="",D377=""),"",IF(COUNTIFS('RESTRIÇÕES'!A:A,G377,'RESTRIÇÕES'!C:C,D377,'RESTRIÇÕES'!F:F,"Sim")&gt;0,"Com restrição","Sem restrição"))</f>
        <v/>
      </c>
      <c r="M377" s="11" t="str">
        <f t="shared" si="2"/>
        <v/>
      </c>
    </row>
    <row r="378" ht="15.75" customHeight="1">
      <c r="A378" s="13" t="str">
        <f t="shared" si="3"/>
        <v/>
      </c>
      <c r="B378" s="27"/>
      <c r="C378" s="13" t="str">
        <f t="shared" si="4"/>
        <v/>
      </c>
      <c r="D378" s="12"/>
      <c r="E378" s="21"/>
      <c r="F378" s="21"/>
      <c r="G378" s="12"/>
      <c r="H378" s="13" t="str">
        <f>IF(G378="","",IFERROR(VLOOKUP(G378,PROFESSORES!A:B,2,FALSE),""))</f>
        <v/>
      </c>
      <c r="I378" s="12"/>
      <c r="J378" s="12"/>
      <c r="K378" s="13" t="str">
        <f>IF(OR(G378="",C378="",E378="",F378="",I378=""),"",IF(AND((COUNTIFS(DISPONIBILIDADE!A:A,G378,DISPONIBILIDADE!C:C,C378,DISPONIBILIDADE!D:D,"&lt;="&amp;E378,DISPONIBILIDADE!E:E,"&gt;="&amp;F378,DISPONIBILIDADE!F:F,I378,DISPONIBILIDADE!G:G,"Sim")+COUNTIFS(DISPONIBILIDADE!A:A,G378,DISPONIBILIDADE!C:C,C378,DISPONIBILIDADE!D:D,"&lt;="&amp;E378,DISPONIBILIDADE!E:E,"&gt;="&amp;F378,DISPONIBILIDADE!F:F,"Ambas",DISPONIBILIDADE!G:G,"Sim"))&gt;0,COUNTIFS($G$3:$G$502,G378,$B$3:$B$502,B378,$E$3:$E$502,"&lt;"&amp;F378,$F$3:$F$502,"&gt;"&amp;E378,$A$3:$A$502,"&lt;&gt;"&amp;A378)=0),"Sim","Não"))</f>
        <v/>
      </c>
      <c r="L378" s="13" t="str">
        <f>IF(OR(G378="",D378=""),"",IF(COUNTIFS('RESTRIÇÕES'!A:A,G378,'RESTRIÇÕES'!C:C,D378,'RESTRIÇÕES'!F:F,"Sim")&gt;0,"Com restrição","Sem restrição"))</f>
        <v/>
      </c>
      <c r="M378" s="13" t="str">
        <f t="shared" si="2"/>
        <v/>
      </c>
    </row>
    <row r="379" ht="15.75" customHeight="1">
      <c r="A379" s="11" t="str">
        <f t="shared" si="3"/>
        <v/>
      </c>
      <c r="B379" s="28"/>
      <c r="C379" s="11" t="str">
        <f t="shared" si="4"/>
        <v/>
      </c>
      <c r="D379" s="10"/>
      <c r="E379" s="19"/>
      <c r="F379" s="19"/>
      <c r="G379" s="10"/>
      <c r="H379" s="11" t="str">
        <f>IF(G379="","",IFERROR(VLOOKUP(G379,PROFESSORES!A:B,2,FALSE),""))</f>
        <v/>
      </c>
      <c r="I379" s="10"/>
      <c r="J379" s="10"/>
      <c r="K379" s="11" t="str">
        <f>IF(OR(G379="",C379="",E379="",F379="",I379=""),"",IF(AND((COUNTIFS(DISPONIBILIDADE!A:A,G379,DISPONIBILIDADE!C:C,C379,DISPONIBILIDADE!D:D,"&lt;="&amp;E379,DISPONIBILIDADE!E:E,"&gt;="&amp;F379,DISPONIBILIDADE!F:F,I379,DISPONIBILIDADE!G:G,"Sim")+COUNTIFS(DISPONIBILIDADE!A:A,G379,DISPONIBILIDADE!C:C,C379,DISPONIBILIDADE!D:D,"&lt;="&amp;E379,DISPONIBILIDADE!E:E,"&gt;="&amp;F379,DISPONIBILIDADE!F:F,"Ambas",DISPONIBILIDADE!G:G,"Sim"))&gt;0,COUNTIFS($G$3:$G$502,G379,$B$3:$B$502,B379,$E$3:$E$502,"&lt;"&amp;F379,$F$3:$F$502,"&gt;"&amp;E379,$A$3:$A$502,"&lt;&gt;"&amp;A379)=0),"Sim","Não"))</f>
        <v/>
      </c>
      <c r="L379" s="11" t="str">
        <f>IF(OR(G379="",D379=""),"",IF(COUNTIFS('RESTRIÇÕES'!A:A,G379,'RESTRIÇÕES'!C:C,D379,'RESTRIÇÕES'!F:F,"Sim")&gt;0,"Com restrição","Sem restrição"))</f>
        <v/>
      </c>
      <c r="M379" s="11" t="str">
        <f t="shared" si="2"/>
        <v/>
      </c>
    </row>
    <row r="380" ht="15.75" customHeight="1">
      <c r="A380" s="13" t="str">
        <f t="shared" si="3"/>
        <v/>
      </c>
      <c r="B380" s="27"/>
      <c r="C380" s="13" t="str">
        <f t="shared" si="4"/>
        <v/>
      </c>
      <c r="D380" s="12"/>
      <c r="E380" s="21"/>
      <c r="F380" s="21"/>
      <c r="G380" s="12"/>
      <c r="H380" s="13" t="str">
        <f>IF(G380="","",IFERROR(VLOOKUP(G380,PROFESSORES!A:B,2,FALSE),""))</f>
        <v/>
      </c>
      <c r="I380" s="12"/>
      <c r="J380" s="12"/>
      <c r="K380" s="13" t="str">
        <f>IF(OR(G380="",C380="",E380="",F380="",I380=""),"",IF(AND((COUNTIFS(DISPONIBILIDADE!A:A,G380,DISPONIBILIDADE!C:C,C380,DISPONIBILIDADE!D:D,"&lt;="&amp;E380,DISPONIBILIDADE!E:E,"&gt;="&amp;F380,DISPONIBILIDADE!F:F,I380,DISPONIBILIDADE!G:G,"Sim")+COUNTIFS(DISPONIBILIDADE!A:A,G380,DISPONIBILIDADE!C:C,C380,DISPONIBILIDADE!D:D,"&lt;="&amp;E380,DISPONIBILIDADE!E:E,"&gt;="&amp;F380,DISPONIBILIDADE!F:F,"Ambas",DISPONIBILIDADE!G:G,"Sim"))&gt;0,COUNTIFS($G$3:$G$502,G380,$B$3:$B$502,B380,$E$3:$E$502,"&lt;"&amp;F380,$F$3:$F$502,"&gt;"&amp;E380,$A$3:$A$502,"&lt;&gt;"&amp;A380)=0),"Sim","Não"))</f>
        <v/>
      </c>
      <c r="L380" s="13" t="str">
        <f>IF(OR(G380="",D380=""),"",IF(COUNTIFS('RESTRIÇÕES'!A:A,G380,'RESTRIÇÕES'!C:C,D380,'RESTRIÇÕES'!F:F,"Sim")&gt;0,"Com restrição","Sem restrição"))</f>
        <v/>
      </c>
      <c r="M380" s="13" t="str">
        <f t="shared" si="2"/>
        <v/>
      </c>
    </row>
    <row r="381" ht="15.75" customHeight="1">
      <c r="A381" s="11" t="str">
        <f t="shared" si="3"/>
        <v/>
      </c>
      <c r="B381" s="28"/>
      <c r="C381" s="11" t="str">
        <f t="shared" si="4"/>
        <v/>
      </c>
      <c r="D381" s="10"/>
      <c r="E381" s="19"/>
      <c r="F381" s="19"/>
      <c r="G381" s="10"/>
      <c r="H381" s="11" t="str">
        <f>IF(G381="","",IFERROR(VLOOKUP(G381,PROFESSORES!A:B,2,FALSE),""))</f>
        <v/>
      </c>
      <c r="I381" s="10"/>
      <c r="J381" s="10"/>
      <c r="K381" s="11" t="str">
        <f>IF(OR(G381="",C381="",E381="",F381="",I381=""),"",IF(AND((COUNTIFS(DISPONIBILIDADE!A:A,G381,DISPONIBILIDADE!C:C,C381,DISPONIBILIDADE!D:D,"&lt;="&amp;E381,DISPONIBILIDADE!E:E,"&gt;="&amp;F381,DISPONIBILIDADE!F:F,I381,DISPONIBILIDADE!G:G,"Sim")+COUNTIFS(DISPONIBILIDADE!A:A,G381,DISPONIBILIDADE!C:C,C381,DISPONIBILIDADE!D:D,"&lt;="&amp;E381,DISPONIBILIDADE!E:E,"&gt;="&amp;F381,DISPONIBILIDADE!F:F,"Ambas",DISPONIBILIDADE!G:G,"Sim"))&gt;0,COUNTIFS($G$3:$G$502,G381,$B$3:$B$502,B381,$E$3:$E$502,"&lt;"&amp;F381,$F$3:$F$502,"&gt;"&amp;E381,$A$3:$A$502,"&lt;&gt;"&amp;A381)=0),"Sim","Não"))</f>
        <v/>
      </c>
      <c r="L381" s="11" t="str">
        <f>IF(OR(G381="",D381=""),"",IF(COUNTIFS('RESTRIÇÕES'!A:A,G381,'RESTRIÇÕES'!C:C,D381,'RESTRIÇÕES'!F:F,"Sim")&gt;0,"Com restrição","Sem restrição"))</f>
        <v/>
      </c>
      <c r="M381" s="11" t="str">
        <f t="shared" si="2"/>
        <v/>
      </c>
    </row>
    <row r="382" ht="15.75" customHeight="1">
      <c r="A382" s="13" t="str">
        <f t="shared" si="3"/>
        <v/>
      </c>
      <c r="B382" s="27"/>
      <c r="C382" s="13" t="str">
        <f t="shared" si="4"/>
        <v/>
      </c>
      <c r="D382" s="12"/>
      <c r="E382" s="21"/>
      <c r="F382" s="21"/>
      <c r="G382" s="12"/>
      <c r="H382" s="13" t="str">
        <f>IF(G382="","",IFERROR(VLOOKUP(G382,PROFESSORES!A:B,2,FALSE),""))</f>
        <v/>
      </c>
      <c r="I382" s="12"/>
      <c r="J382" s="12"/>
      <c r="K382" s="13" t="str">
        <f>IF(OR(G382="",C382="",E382="",F382="",I382=""),"",IF(AND((COUNTIFS(DISPONIBILIDADE!A:A,G382,DISPONIBILIDADE!C:C,C382,DISPONIBILIDADE!D:D,"&lt;="&amp;E382,DISPONIBILIDADE!E:E,"&gt;="&amp;F382,DISPONIBILIDADE!F:F,I382,DISPONIBILIDADE!G:G,"Sim")+COUNTIFS(DISPONIBILIDADE!A:A,G382,DISPONIBILIDADE!C:C,C382,DISPONIBILIDADE!D:D,"&lt;="&amp;E382,DISPONIBILIDADE!E:E,"&gt;="&amp;F382,DISPONIBILIDADE!F:F,"Ambas",DISPONIBILIDADE!G:G,"Sim"))&gt;0,COUNTIFS($G$3:$G$502,G382,$B$3:$B$502,B382,$E$3:$E$502,"&lt;"&amp;F382,$F$3:$F$502,"&gt;"&amp;E382,$A$3:$A$502,"&lt;&gt;"&amp;A382)=0),"Sim","Não"))</f>
        <v/>
      </c>
      <c r="L382" s="13" t="str">
        <f>IF(OR(G382="",D382=""),"",IF(COUNTIFS('RESTRIÇÕES'!A:A,G382,'RESTRIÇÕES'!C:C,D382,'RESTRIÇÕES'!F:F,"Sim")&gt;0,"Com restrição","Sem restrição"))</f>
        <v/>
      </c>
      <c r="M382" s="13" t="str">
        <f t="shared" si="2"/>
        <v/>
      </c>
    </row>
    <row r="383" ht="15.75" customHeight="1">
      <c r="A383" s="11" t="str">
        <f t="shared" si="3"/>
        <v/>
      </c>
      <c r="B383" s="28"/>
      <c r="C383" s="11" t="str">
        <f t="shared" si="4"/>
        <v/>
      </c>
      <c r="D383" s="10"/>
      <c r="E383" s="19"/>
      <c r="F383" s="19"/>
      <c r="G383" s="10"/>
      <c r="H383" s="11" t="str">
        <f>IF(G383="","",IFERROR(VLOOKUP(G383,PROFESSORES!A:B,2,FALSE),""))</f>
        <v/>
      </c>
      <c r="I383" s="10"/>
      <c r="J383" s="10"/>
      <c r="K383" s="11" t="str">
        <f>IF(OR(G383="",C383="",E383="",F383="",I383=""),"",IF(AND((COUNTIFS(DISPONIBILIDADE!A:A,G383,DISPONIBILIDADE!C:C,C383,DISPONIBILIDADE!D:D,"&lt;="&amp;E383,DISPONIBILIDADE!E:E,"&gt;="&amp;F383,DISPONIBILIDADE!F:F,I383,DISPONIBILIDADE!G:G,"Sim")+COUNTIFS(DISPONIBILIDADE!A:A,G383,DISPONIBILIDADE!C:C,C383,DISPONIBILIDADE!D:D,"&lt;="&amp;E383,DISPONIBILIDADE!E:E,"&gt;="&amp;F383,DISPONIBILIDADE!F:F,"Ambas",DISPONIBILIDADE!G:G,"Sim"))&gt;0,COUNTIFS($G$3:$G$502,G383,$B$3:$B$502,B383,$E$3:$E$502,"&lt;"&amp;F383,$F$3:$F$502,"&gt;"&amp;E383,$A$3:$A$502,"&lt;&gt;"&amp;A383)=0),"Sim","Não"))</f>
        <v/>
      </c>
      <c r="L383" s="11" t="str">
        <f>IF(OR(G383="",D383=""),"",IF(COUNTIFS('RESTRIÇÕES'!A:A,G383,'RESTRIÇÕES'!C:C,D383,'RESTRIÇÕES'!F:F,"Sim")&gt;0,"Com restrição","Sem restrição"))</f>
        <v/>
      </c>
      <c r="M383" s="11" t="str">
        <f t="shared" si="2"/>
        <v/>
      </c>
    </row>
    <row r="384" ht="15.75" customHeight="1">
      <c r="A384" s="13" t="str">
        <f t="shared" si="3"/>
        <v/>
      </c>
      <c r="B384" s="27"/>
      <c r="C384" s="13" t="str">
        <f t="shared" si="4"/>
        <v/>
      </c>
      <c r="D384" s="12"/>
      <c r="E384" s="21"/>
      <c r="F384" s="21"/>
      <c r="G384" s="12"/>
      <c r="H384" s="13" t="str">
        <f>IF(G384="","",IFERROR(VLOOKUP(G384,PROFESSORES!A:B,2,FALSE),""))</f>
        <v/>
      </c>
      <c r="I384" s="12"/>
      <c r="J384" s="12"/>
      <c r="K384" s="13" t="str">
        <f>IF(OR(G384="",C384="",E384="",F384="",I384=""),"",IF(AND((COUNTIFS(DISPONIBILIDADE!A:A,G384,DISPONIBILIDADE!C:C,C384,DISPONIBILIDADE!D:D,"&lt;="&amp;E384,DISPONIBILIDADE!E:E,"&gt;="&amp;F384,DISPONIBILIDADE!F:F,I384,DISPONIBILIDADE!G:G,"Sim")+COUNTIFS(DISPONIBILIDADE!A:A,G384,DISPONIBILIDADE!C:C,C384,DISPONIBILIDADE!D:D,"&lt;="&amp;E384,DISPONIBILIDADE!E:E,"&gt;="&amp;F384,DISPONIBILIDADE!F:F,"Ambas",DISPONIBILIDADE!G:G,"Sim"))&gt;0,COUNTIFS($G$3:$G$502,G384,$B$3:$B$502,B384,$E$3:$E$502,"&lt;"&amp;F384,$F$3:$F$502,"&gt;"&amp;E384,$A$3:$A$502,"&lt;&gt;"&amp;A384)=0),"Sim","Não"))</f>
        <v/>
      </c>
      <c r="L384" s="13" t="str">
        <f>IF(OR(G384="",D384=""),"",IF(COUNTIFS('RESTRIÇÕES'!A:A,G384,'RESTRIÇÕES'!C:C,D384,'RESTRIÇÕES'!F:F,"Sim")&gt;0,"Com restrição","Sem restrição"))</f>
        <v/>
      </c>
      <c r="M384" s="13" t="str">
        <f t="shared" si="2"/>
        <v/>
      </c>
    </row>
    <row r="385" ht="15.75" customHeight="1">
      <c r="A385" s="11" t="str">
        <f t="shared" si="3"/>
        <v/>
      </c>
      <c r="B385" s="28"/>
      <c r="C385" s="11" t="str">
        <f t="shared" si="4"/>
        <v/>
      </c>
      <c r="D385" s="10"/>
      <c r="E385" s="19"/>
      <c r="F385" s="19"/>
      <c r="G385" s="10"/>
      <c r="H385" s="11" t="str">
        <f>IF(G385="","",IFERROR(VLOOKUP(G385,PROFESSORES!A:B,2,FALSE),""))</f>
        <v/>
      </c>
      <c r="I385" s="10"/>
      <c r="J385" s="10"/>
      <c r="K385" s="11" t="str">
        <f>IF(OR(G385="",C385="",E385="",F385="",I385=""),"",IF(AND((COUNTIFS(DISPONIBILIDADE!A:A,G385,DISPONIBILIDADE!C:C,C385,DISPONIBILIDADE!D:D,"&lt;="&amp;E385,DISPONIBILIDADE!E:E,"&gt;="&amp;F385,DISPONIBILIDADE!F:F,I385,DISPONIBILIDADE!G:G,"Sim")+COUNTIFS(DISPONIBILIDADE!A:A,G385,DISPONIBILIDADE!C:C,C385,DISPONIBILIDADE!D:D,"&lt;="&amp;E385,DISPONIBILIDADE!E:E,"&gt;="&amp;F385,DISPONIBILIDADE!F:F,"Ambas",DISPONIBILIDADE!G:G,"Sim"))&gt;0,COUNTIFS($G$3:$G$502,G385,$B$3:$B$502,B385,$E$3:$E$502,"&lt;"&amp;F385,$F$3:$F$502,"&gt;"&amp;E385,$A$3:$A$502,"&lt;&gt;"&amp;A385)=0),"Sim","Não"))</f>
        <v/>
      </c>
      <c r="L385" s="11" t="str">
        <f>IF(OR(G385="",D385=""),"",IF(COUNTIFS('RESTRIÇÕES'!A:A,G385,'RESTRIÇÕES'!C:C,D385,'RESTRIÇÕES'!F:F,"Sim")&gt;0,"Com restrição","Sem restrição"))</f>
        <v/>
      </c>
      <c r="M385" s="11" t="str">
        <f t="shared" si="2"/>
        <v/>
      </c>
    </row>
    <row r="386" ht="15.75" customHeight="1">
      <c r="A386" s="13" t="str">
        <f t="shared" si="3"/>
        <v/>
      </c>
      <c r="B386" s="27"/>
      <c r="C386" s="13" t="str">
        <f t="shared" si="4"/>
        <v/>
      </c>
      <c r="D386" s="12"/>
      <c r="E386" s="21"/>
      <c r="F386" s="21"/>
      <c r="G386" s="12"/>
      <c r="H386" s="13" t="str">
        <f>IF(G386="","",IFERROR(VLOOKUP(G386,PROFESSORES!A:B,2,FALSE),""))</f>
        <v/>
      </c>
      <c r="I386" s="12"/>
      <c r="J386" s="12"/>
      <c r="K386" s="13" t="str">
        <f>IF(OR(G386="",C386="",E386="",F386="",I386=""),"",IF(AND((COUNTIFS(DISPONIBILIDADE!A:A,G386,DISPONIBILIDADE!C:C,C386,DISPONIBILIDADE!D:D,"&lt;="&amp;E386,DISPONIBILIDADE!E:E,"&gt;="&amp;F386,DISPONIBILIDADE!F:F,I386,DISPONIBILIDADE!G:G,"Sim")+COUNTIFS(DISPONIBILIDADE!A:A,G386,DISPONIBILIDADE!C:C,C386,DISPONIBILIDADE!D:D,"&lt;="&amp;E386,DISPONIBILIDADE!E:E,"&gt;="&amp;F386,DISPONIBILIDADE!F:F,"Ambas",DISPONIBILIDADE!G:G,"Sim"))&gt;0,COUNTIFS($G$3:$G$502,G386,$B$3:$B$502,B386,$E$3:$E$502,"&lt;"&amp;F386,$F$3:$F$502,"&gt;"&amp;E386,$A$3:$A$502,"&lt;&gt;"&amp;A386)=0),"Sim","Não"))</f>
        <v/>
      </c>
      <c r="L386" s="13" t="str">
        <f>IF(OR(G386="",D386=""),"",IF(COUNTIFS('RESTRIÇÕES'!A:A,G386,'RESTRIÇÕES'!C:C,D386,'RESTRIÇÕES'!F:F,"Sim")&gt;0,"Com restrição","Sem restrição"))</f>
        <v/>
      </c>
      <c r="M386" s="13" t="str">
        <f t="shared" si="2"/>
        <v/>
      </c>
    </row>
    <row r="387" ht="15.75" customHeight="1">
      <c r="A387" s="11" t="str">
        <f t="shared" si="3"/>
        <v/>
      </c>
      <c r="B387" s="28"/>
      <c r="C387" s="11" t="str">
        <f t="shared" si="4"/>
        <v/>
      </c>
      <c r="D387" s="10"/>
      <c r="E387" s="19"/>
      <c r="F387" s="19"/>
      <c r="G387" s="10"/>
      <c r="H387" s="11" t="str">
        <f>IF(G387="","",IFERROR(VLOOKUP(G387,PROFESSORES!A:B,2,FALSE),""))</f>
        <v/>
      </c>
      <c r="I387" s="10"/>
      <c r="J387" s="10"/>
      <c r="K387" s="11" t="str">
        <f>IF(OR(G387="",C387="",E387="",F387="",I387=""),"",IF(AND((COUNTIFS(DISPONIBILIDADE!A:A,G387,DISPONIBILIDADE!C:C,C387,DISPONIBILIDADE!D:D,"&lt;="&amp;E387,DISPONIBILIDADE!E:E,"&gt;="&amp;F387,DISPONIBILIDADE!F:F,I387,DISPONIBILIDADE!G:G,"Sim")+COUNTIFS(DISPONIBILIDADE!A:A,G387,DISPONIBILIDADE!C:C,C387,DISPONIBILIDADE!D:D,"&lt;="&amp;E387,DISPONIBILIDADE!E:E,"&gt;="&amp;F387,DISPONIBILIDADE!F:F,"Ambas",DISPONIBILIDADE!G:G,"Sim"))&gt;0,COUNTIFS($G$3:$G$502,G387,$B$3:$B$502,B387,$E$3:$E$502,"&lt;"&amp;F387,$F$3:$F$502,"&gt;"&amp;E387,$A$3:$A$502,"&lt;&gt;"&amp;A387)=0),"Sim","Não"))</f>
        <v/>
      </c>
      <c r="L387" s="11" t="str">
        <f>IF(OR(G387="",D387=""),"",IF(COUNTIFS('RESTRIÇÕES'!A:A,G387,'RESTRIÇÕES'!C:C,D387,'RESTRIÇÕES'!F:F,"Sim")&gt;0,"Com restrição","Sem restrição"))</f>
        <v/>
      </c>
      <c r="M387" s="11" t="str">
        <f t="shared" si="2"/>
        <v/>
      </c>
    </row>
    <row r="388" ht="15.75" customHeight="1">
      <c r="A388" s="13" t="str">
        <f t="shared" si="3"/>
        <v/>
      </c>
      <c r="B388" s="27"/>
      <c r="C388" s="13" t="str">
        <f t="shared" si="4"/>
        <v/>
      </c>
      <c r="D388" s="12"/>
      <c r="E388" s="21"/>
      <c r="F388" s="21"/>
      <c r="G388" s="12"/>
      <c r="H388" s="13" t="str">
        <f>IF(G388="","",IFERROR(VLOOKUP(G388,PROFESSORES!A:B,2,FALSE),""))</f>
        <v/>
      </c>
      <c r="I388" s="12"/>
      <c r="J388" s="12"/>
      <c r="K388" s="13" t="str">
        <f>IF(OR(G388="",C388="",E388="",F388="",I388=""),"",IF(AND((COUNTIFS(DISPONIBILIDADE!A:A,G388,DISPONIBILIDADE!C:C,C388,DISPONIBILIDADE!D:D,"&lt;="&amp;E388,DISPONIBILIDADE!E:E,"&gt;="&amp;F388,DISPONIBILIDADE!F:F,I388,DISPONIBILIDADE!G:G,"Sim")+COUNTIFS(DISPONIBILIDADE!A:A,G388,DISPONIBILIDADE!C:C,C388,DISPONIBILIDADE!D:D,"&lt;="&amp;E388,DISPONIBILIDADE!E:E,"&gt;="&amp;F388,DISPONIBILIDADE!F:F,"Ambas",DISPONIBILIDADE!G:G,"Sim"))&gt;0,COUNTIFS($G$3:$G$502,G388,$B$3:$B$502,B388,$E$3:$E$502,"&lt;"&amp;F388,$F$3:$F$502,"&gt;"&amp;E388,$A$3:$A$502,"&lt;&gt;"&amp;A388)=0),"Sim","Não"))</f>
        <v/>
      </c>
      <c r="L388" s="13" t="str">
        <f>IF(OR(G388="",D388=""),"",IF(COUNTIFS('RESTRIÇÕES'!A:A,G388,'RESTRIÇÕES'!C:C,D388,'RESTRIÇÕES'!F:F,"Sim")&gt;0,"Com restrição","Sem restrição"))</f>
        <v/>
      </c>
      <c r="M388" s="13" t="str">
        <f t="shared" si="2"/>
        <v/>
      </c>
    </row>
    <row r="389" ht="15.75" customHeight="1">
      <c r="A389" s="11" t="str">
        <f t="shared" si="3"/>
        <v/>
      </c>
      <c r="B389" s="28"/>
      <c r="C389" s="11" t="str">
        <f t="shared" si="4"/>
        <v/>
      </c>
      <c r="D389" s="10"/>
      <c r="E389" s="19"/>
      <c r="F389" s="19"/>
      <c r="G389" s="10"/>
      <c r="H389" s="11" t="str">
        <f>IF(G389="","",IFERROR(VLOOKUP(G389,PROFESSORES!A:B,2,FALSE),""))</f>
        <v/>
      </c>
      <c r="I389" s="10"/>
      <c r="J389" s="10"/>
      <c r="K389" s="11" t="str">
        <f>IF(OR(G389="",C389="",E389="",F389="",I389=""),"",IF(AND((COUNTIFS(DISPONIBILIDADE!A:A,G389,DISPONIBILIDADE!C:C,C389,DISPONIBILIDADE!D:D,"&lt;="&amp;E389,DISPONIBILIDADE!E:E,"&gt;="&amp;F389,DISPONIBILIDADE!F:F,I389,DISPONIBILIDADE!G:G,"Sim")+COUNTIFS(DISPONIBILIDADE!A:A,G389,DISPONIBILIDADE!C:C,C389,DISPONIBILIDADE!D:D,"&lt;="&amp;E389,DISPONIBILIDADE!E:E,"&gt;="&amp;F389,DISPONIBILIDADE!F:F,"Ambas",DISPONIBILIDADE!G:G,"Sim"))&gt;0,COUNTIFS($G$3:$G$502,G389,$B$3:$B$502,B389,$E$3:$E$502,"&lt;"&amp;F389,$F$3:$F$502,"&gt;"&amp;E389,$A$3:$A$502,"&lt;&gt;"&amp;A389)=0),"Sim","Não"))</f>
        <v/>
      </c>
      <c r="L389" s="11" t="str">
        <f>IF(OR(G389="",D389=""),"",IF(COUNTIFS('RESTRIÇÕES'!A:A,G389,'RESTRIÇÕES'!C:C,D389,'RESTRIÇÕES'!F:F,"Sim")&gt;0,"Com restrição","Sem restrição"))</f>
        <v/>
      </c>
      <c r="M389" s="11" t="str">
        <f t="shared" si="2"/>
        <v/>
      </c>
    </row>
    <row r="390" ht="15.75" customHeight="1">
      <c r="A390" s="13" t="str">
        <f t="shared" si="3"/>
        <v/>
      </c>
      <c r="B390" s="27"/>
      <c r="C390" s="13" t="str">
        <f t="shared" si="4"/>
        <v/>
      </c>
      <c r="D390" s="12"/>
      <c r="E390" s="21"/>
      <c r="F390" s="21"/>
      <c r="G390" s="12"/>
      <c r="H390" s="13" t="str">
        <f>IF(G390="","",IFERROR(VLOOKUP(G390,PROFESSORES!A:B,2,FALSE),""))</f>
        <v/>
      </c>
      <c r="I390" s="12"/>
      <c r="J390" s="12"/>
      <c r="K390" s="13" t="str">
        <f>IF(OR(G390="",C390="",E390="",F390="",I390=""),"",IF(AND((COUNTIFS(DISPONIBILIDADE!A:A,G390,DISPONIBILIDADE!C:C,C390,DISPONIBILIDADE!D:D,"&lt;="&amp;E390,DISPONIBILIDADE!E:E,"&gt;="&amp;F390,DISPONIBILIDADE!F:F,I390,DISPONIBILIDADE!G:G,"Sim")+COUNTIFS(DISPONIBILIDADE!A:A,G390,DISPONIBILIDADE!C:C,C390,DISPONIBILIDADE!D:D,"&lt;="&amp;E390,DISPONIBILIDADE!E:E,"&gt;="&amp;F390,DISPONIBILIDADE!F:F,"Ambas",DISPONIBILIDADE!G:G,"Sim"))&gt;0,COUNTIFS($G$3:$G$502,G390,$B$3:$B$502,B390,$E$3:$E$502,"&lt;"&amp;F390,$F$3:$F$502,"&gt;"&amp;E390,$A$3:$A$502,"&lt;&gt;"&amp;A390)=0),"Sim","Não"))</f>
        <v/>
      </c>
      <c r="L390" s="13" t="str">
        <f>IF(OR(G390="",D390=""),"",IF(COUNTIFS('RESTRIÇÕES'!A:A,G390,'RESTRIÇÕES'!C:C,D390,'RESTRIÇÕES'!F:F,"Sim")&gt;0,"Com restrição","Sem restrição"))</f>
        <v/>
      </c>
      <c r="M390" s="13" t="str">
        <f t="shared" si="2"/>
        <v/>
      </c>
    </row>
    <row r="391" ht="15.75" customHeight="1">
      <c r="A391" s="11" t="str">
        <f t="shared" si="3"/>
        <v/>
      </c>
      <c r="B391" s="28"/>
      <c r="C391" s="11" t="str">
        <f t="shared" si="4"/>
        <v/>
      </c>
      <c r="D391" s="10"/>
      <c r="E391" s="19"/>
      <c r="F391" s="19"/>
      <c r="G391" s="10"/>
      <c r="H391" s="11" t="str">
        <f>IF(G391="","",IFERROR(VLOOKUP(G391,PROFESSORES!A:B,2,FALSE),""))</f>
        <v/>
      </c>
      <c r="I391" s="10"/>
      <c r="J391" s="10"/>
      <c r="K391" s="11" t="str">
        <f>IF(OR(G391="",C391="",E391="",F391="",I391=""),"",IF(AND((COUNTIFS(DISPONIBILIDADE!A:A,G391,DISPONIBILIDADE!C:C,C391,DISPONIBILIDADE!D:D,"&lt;="&amp;E391,DISPONIBILIDADE!E:E,"&gt;="&amp;F391,DISPONIBILIDADE!F:F,I391,DISPONIBILIDADE!G:G,"Sim")+COUNTIFS(DISPONIBILIDADE!A:A,G391,DISPONIBILIDADE!C:C,C391,DISPONIBILIDADE!D:D,"&lt;="&amp;E391,DISPONIBILIDADE!E:E,"&gt;="&amp;F391,DISPONIBILIDADE!F:F,"Ambas",DISPONIBILIDADE!G:G,"Sim"))&gt;0,COUNTIFS($G$3:$G$502,G391,$B$3:$B$502,B391,$E$3:$E$502,"&lt;"&amp;F391,$F$3:$F$502,"&gt;"&amp;E391,$A$3:$A$502,"&lt;&gt;"&amp;A391)=0),"Sim","Não"))</f>
        <v/>
      </c>
      <c r="L391" s="11" t="str">
        <f>IF(OR(G391="",D391=""),"",IF(COUNTIFS('RESTRIÇÕES'!A:A,G391,'RESTRIÇÕES'!C:C,D391,'RESTRIÇÕES'!F:F,"Sim")&gt;0,"Com restrição","Sem restrição"))</f>
        <v/>
      </c>
      <c r="M391" s="11" t="str">
        <f t="shared" si="2"/>
        <v/>
      </c>
    </row>
    <row r="392" ht="15.75" customHeight="1">
      <c r="A392" s="13" t="str">
        <f t="shared" si="3"/>
        <v/>
      </c>
      <c r="B392" s="27"/>
      <c r="C392" s="13" t="str">
        <f t="shared" si="4"/>
        <v/>
      </c>
      <c r="D392" s="12"/>
      <c r="E392" s="21"/>
      <c r="F392" s="21"/>
      <c r="G392" s="12"/>
      <c r="H392" s="13" t="str">
        <f>IF(G392="","",IFERROR(VLOOKUP(G392,PROFESSORES!A:B,2,FALSE),""))</f>
        <v/>
      </c>
      <c r="I392" s="12"/>
      <c r="J392" s="12"/>
      <c r="K392" s="13" t="str">
        <f>IF(OR(G392="",C392="",E392="",F392="",I392=""),"",IF(AND((COUNTIFS(DISPONIBILIDADE!A:A,G392,DISPONIBILIDADE!C:C,C392,DISPONIBILIDADE!D:D,"&lt;="&amp;E392,DISPONIBILIDADE!E:E,"&gt;="&amp;F392,DISPONIBILIDADE!F:F,I392,DISPONIBILIDADE!G:G,"Sim")+COUNTIFS(DISPONIBILIDADE!A:A,G392,DISPONIBILIDADE!C:C,C392,DISPONIBILIDADE!D:D,"&lt;="&amp;E392,DISPONIBILIDADE!E:E,"&gt;="&amp;F392,DISPONIBILIDADE!F:F,"Ambas",DISPONIBILIDADE!G:G,"Sim"))&gt;0,COUNTIFS($G$3:$G$502,G392,$B$3:$B$502,B392,$E$3:$E$502,"&lt;"&amp;F392,$F$3:$F$502,"&gt;"&amp;E392,$A$3:$A$502,"&lt;&gt;"&amp;A392)=0),"Sim","Não"))</f>
        <v/>
      </c>
      <c r="L392" s="13" t="str">
        <f>IF(OR(G392="",D392=""),"",IF(COUNTIFS('RESTRIÇÕES'!A:A,G392,'RESTRIÇÕES'!C:C,D392,'RESTRIÇÕES'!F:F,"Sim")&gt;0,"Com restrição","Sem restrição"))</f>
        <v/>
      </c>
      <c r="M392" s="13" t="str">
        <f t="shared" si="2"/>
        <v/>
      </c>
    </row>
    <row r="393" ht="15.75" customHeight="1">
      <c r="A393" s="11" t="str">
        <f t="shared" si="3"/>
        <v/>
      </c>
      <c r="B393" s="28"/>
      <c r="C393" s="11" t="str">
        <f t="shared" si="4"/>
        <v/>
      </c>
      <c r="D393" s="10"/>
      <c r="E393" s="19"/>
      <c r="F393" s="19"/>
      <c r="G393" s="10"/>
      <c r="H393" s="11" t="str">
        <f>IF(G393="","",IFERROR(VLOOKUP(G393,PROFESSORES!A:B,2,FALSE),""))</f>
        <v/>
      </c>
      <c r="I393" s="10"/>
      <c r="J393" s="10"/>
      <c r="K393" s="11" t="str">
        <f>IF(OR(G393="",C393="",E393="",F393="",I393=""),"",IF(AND((COUNTIFS(DISPONIBILIDADE!A:A,G393,DISPONIBILIDADE!C:C,C393,DISPONIBILIDADE!D:D,"&lt;="&amp;E393,DISPONIBILIDADE!E:E,"&gt;="&amp;F393,DISPONIBILIDADE!F:F,I393,DISPONIBILIDADE!G:G,"Sim")+COUNTIFS(DISPONIBILIDADE!A:A,G393,DISPONIBILIDADE!C:C,C393,DISPONIBILIDADE!D:D,"&lt;="&amp;E393,DISPONIBILIDADE!E:E,"&gt;="&amp;F393,DISPONIBILIDADE!F:F,"Ambas",DISPONIBILIDADE!G:G,"Sim"))&gt;0,COUNTIFS($G$3:$G$502,G393,$B$3:$B$502,B393,$E$3:$E$502,"&lt;"&amp;F393,$F$3:$F$502,"&gt;"&amp;E393,$A$3:$A$502,"&lt;&gt;"&amp;A393)=0),"Sim","Não"))</f>
        <v/>
      </c>
      <c r="L393" s="11" t="str">
        <f>IF(OR(G393="",D393=""),"",IF(COUNTIFS('RESTRIÇÕES'!A:A,G393,'RESTRIÇÕES'!C:C,D393,'RESTRIÇÕES'!F:F,"Sim")&gt;0,"Com restrição","Sem restrição"))</f>
        <v/>
      </c>
      <c r="M393" s="11" t="str">
        <f t="shared" si="2"/>
        <v/>
      </c>
    </row>
    <row r="394" ht="15.75" customHeight="1">
      <c r="A394" s="13" t="str">
        <f t="shared" si="3"/>
        <v/>
      </c>
      <c r="B394" s="27"/>
      <c r="C394" s="13" t="str">
        <f t="shared" si="4"/>
        <v/>
      </c>
      <c r="D394" s="12"/>
      <c r="E394" s="21"/>
      <c r="F394" s="21"/>
      <c r="G394" s="12"/>
      <c r="H394" s="13" t="str">
        <f>IF(G394="","",IFERROR(VLOOKUP(G394,PROFESSORES!A:B,2,FALSE),""))</f>
        <v/>
      </c>
      <c r="I394" s="12"/>
      <c r="J394" s="12"/>
      <c r="K394" s="13" t="str">
        <f>IF(OR(G394="",C394="",E394="",F394="",I394=""),"",IF(AND((COUNTIFS(DISPONIBILIDADE!A:A,G394,DISPONIBILIDADE!C:C,C394,DISPONIBILIDADE!D:D,"&lt;="&amp;E394,DISPONIBILIDADE!E:E,"&gt;="&amp;F394,DISPONIBILIDADE!F:F,I394,DISPONIBILIDADE!G:G,"Sim")+COUNTIFS(DISPONIBILIDADE!A:A,G394,DISPONIBILIDADE!C:C,C394,DISPONIBILIDADE!D:D,"&lt;="&amp;E394,DISPONIBILIDADE!E:E,"&gt;="&amp;F394,DISPONIBILIDADE!F:F,"Ambas",DISPONIBILIDADE!G:G,"Sim"))&gt;0,COUNTIFS($G$3:$G$502,G394,$B$3:$B$502,B394,$E$3:$E$502,"&lt;"&amp;F394,$F$3:$F$502,"&gt;"&amp;E394,$A$3:$A$502,"&lt;&gt;"&amp;A394)=0),"Sim","Não"))</f>
        <v/>
      </c>
      <c r="L394" s="13" t="str">
        <f>IF(OR(G394="",D394=""),"",IF(COUNTIFS('RESTRIÇÕES'!A:A,G394,'RESTRIÇÕES'!C:C,D394,'RESTRIÇÕES'!F:F,"Sim")&gt;0,"Com restrição","Sem restrição"))</f>
        <v/>
      </c>
      <c r="M394" s="13" t="str">
        <f t="shared" si="2"/>
        <v/>
      </c>
    </row>
    <row r="395" ht="15.75" customHeight="1">
      <c r="A395" s="11" t="str">
        <f t="shared" si="3"/>
        <v/>
      </c>
      <c r="B395" s="28"/>
      <c r="C395" s="11" t="str">
        <f t="shared" si="4"/>
        <v/>
      </c>
      <c r="D395" s="10"/>
      <c r="E395" s="19"/>
      <c r="F395" s="19"/>
      <c r="G395" s="10"/>
      <c r="H395" s="11" t="str">
        <f>IF(G395="","",IFERROR(VLOOKUP(G395,PROFESSORES!A:B,2,FALSE),""))</f>
        <v/>
      </c>
      <c r="I395" s="10"/>
      <c r="J395" s="10"/>
      <c r="K395" s="11" t="str">
        <f>IF(OR(G395="",C395="",E395="",F395="",I395=""),"",IF(AND((COUNTIFS(DISPONIBILIDADE!A:A,G395,DISPONIBILIDADE!C:C,C395,DISPONIBILIDADE!D:D,"&lt;="&amp;E395,DISPONIBILIDADE!E:E,"&gt;="&amp;F395,DISPONIBILIDADE!F:F,I395,DISPONIBILIDADE!G:G,"Sim")+COUNTIFS(DISPONIBILIDADE!A:A,G395,DISPONIBILIDADE!C:C,C395,DISPONIBILIDADE!D:D,"&lt;="&amp;E395,DISPONIBILIDADE!E:E,"&gt;="&amp;F395,DISPONIBILIDADE!F:F,"Ambas",DISPONIBILIDADE!G:G,"Sim"))&gt;0,COUNTIFS($G$3:$G$502,G395,$B$3:$B$502,B395,$E$3:$E$502,"&lt;"&amp;F395,$F$3:$F$502,"&gt;"&amp;E395,$A$3:$A$502,"&lt;&gt;"&amp;A395)=0),"Sim","Não"))</f>
        <v/>
      </c>
      <c r="L395" s="11" t="str">
        <f>IF(OR(G395="",D395=""),"",IF(COUNTIFS('RESTRIÇÕES'!A:A,G395,'RESTRIÇÕES'!C:C,D395,'RESTRIÇÕES'!F:F,"Sim")&gt;0,"Com restrição","Sem restrição"))</f>
        <v/>
      </c>
      <c r="M395" s="11" t="str">
        <f t="shared" si="2"/>
        <v/>
      </c>
    </row>
    <row r="396" ht="15.75" customHeight="1">
      <c r="A396" s="13" t="str">
        <f t="shared" si="3"/>
        <v/>
      </c>
      <c r="B396" s="27"/>
      <c r="C396" s="13" t="str">
        <f t="shared" si="4"/>
        <v/>
      </c>
      <c r="D396" s="12"/>
      <c r="E396" s="21"/>
      <c r="F396" s="21"/>
      <c r="G396" s="12"/>
      <c r="H396" s="13" t="str">
        <f>IF(G396="","",IFERROR(VLOOKUP(G396,PROFESSORES!A:B,2,FALSE),""))</f>
        <v/>
      </c>
      <c r="I396" s="12"/>
      <c r="J396" s="12"/>
      <c r="K396" s="13" t="str">
        <f>IF(OR(G396="",C396="",E396="",F396="",I396=""),"",IF(AND((COUNTIFS(DISPONIBILIDADE!A:A,G396,DISPONIBILIDADE!C:C,C396,DISPONIBILIDADE!D:D,"&lt;="&amp;E396,DISPONIBILIDADE!E:E,"&gt;="&amp;F396,DISPONIBILIDADE!F:F,I396,DISPONIBILIDADE!G:G,"Sim")+COUNTIFS(DISPONIBILIDADE!A:A,G396,DISPONIBILIDADE!C:C,C396,DISPONIBILIDADE!D:D,"&lt;="&amp;E396,DISPONIBILIDADE!E:E,"&gt;="&amp;F396,DISPONIBILIDADE!F:F,"Ambas",DISPONIBILIDADE!G:G,"Sim"))&gt;0,COUNTIFS($G$3:$G$502,G396,$B$3:$B$502,B396,$E$3:$E$502,"&lt;"&amp;F396,$F$3:$F$502,"&gt;"&amp;E396,$A$3:$A$502,"&lt;&gt;"&amp;A396)=0),"Sim","Não"))</f>
        <v/>
      </c>
      <c r="L396" s="13" t="str">
        <f>IF(OR(G396="",D396=""),"",IF(COUNTIFS('RESTRIÇÕES'!A:A,G396,'RESTRIÇÕES'!C:C,D396,'RESTRIÇÕES'!F:F,"Sim")&gt;0,"Com restrição","Sem restrição"))</f>
        <v/>
      </c>
      <c r="M396" s="13" t="str">
        <f t="shared" si="2"/>
        <v/>
      </c>
    </row>
    <row r="397" ht="15.75" customHeight="1">
      <c r="A397" s="11" t="str">
        <f t="shared" si="3"/>
        <v/>
      </c>
      <c r="B397" s="28"/>
      <c r="C397" s="11" t="str">
        <f t="shared" si="4"/>
        <v/>
      </c>
      <c r="D397" s="10"/>
      <c r="E397" s="19"/>
      <c r="F397" s="19"/>
      <c r="G397" s="10"/>
      <c r="H397" s="11" t="str">
        <f>IF(G397="","",IFERROR(VLOOKUP(G397,PROFESSORES!A:B,2,FALSE),""))</f>
        <v/>
      </c>
      <c r="I397" s="10"/>
      <c r="J397" s="10"/>
      <c r="K397" s="11" t="str">
        <f>IF(OR(G397="",C397="",E397="",F397="",I397=""),"",IF(AND((COUNTIFS(DISPONIBILIDADE!A:A,G397,DISPONIBILIDADE!C:C,C397,DISPONIBILIDADE!D:D,"&lt;="&amp;E397,DISPONIBILIDADE!E:E,"&gt;="&amp;F397,DISPONIBILIDADE!F:F,I397,DISPONIBILIDADE!G:G,"Sim")+COUNTIFS(DISPONIBILIDADE!A:A,G397,DISPONIBILIDADE!C:C,C397,DISPONIBILIDADE!D:D,"&lt;="&amp;E397,DISPONIBILIDADE!E:E,"&gt;="&amp;F397,DISPONIBILIDADE!F:F,"Ambas",DISPONIBILIDADE!G:G,"Sim"))&gt;0,COUNTIFS($G$3:$G$502,G397,$B$3:$B$502,B397,$E$3:$E$502,"&lt;"&amp;F397,$F$3:$F$502,"&gt;"&amp;E397,$A$3:$A$502,"&lt;&gt;"&amp;A397)=0),"Sim","Não"))</f>
        <v/>
      </c>
      <c r="L397" s="11" t="str">
        <f>IF(OR(G397="",D397=""),"",IF(COUNTIFS('RESTRIÇÕES'!A:A,G397,'RESTRIÇÕES'!C:C,D397,'RESTRIÇÕES'!F:F,"Sim")&gt;0,"Com restrição","Sem restrição"))</f>
        <v/>
      </c>
      <c r="M397" s="11" t="str">
        <f t="shared" si="2"/>
        <v/>
      </c>
    </row>
    <row r="398" ht="15.75" customHeight="1">
      <c r="A398" s="13" t="str">
        <f t="shared" si="3"/>
        <v/>
      </c>
      <c r="B398" s="27"/>
      <c r="C398" s="13" t="str">
        <f t="shared" si="4"/>
        <v/>
      </c>
      <c r="D398" s="12"/>
      <c r="E398" s="21"/>
      <c r="F398" s="21"/>
      <c r="G398" s="12"/>
      <c r="H398" s="13" t="str">
        <f>IF(G398="","",IFERROR(VLOOKUP(G398,PROFESSORES!A:B,2,FALSE),""))</f>
        <v/>
      </c>
      <c r="I398" s="12"/>
      <c r="J398" s="12"/>
      <c r="K398" s="13" t="str">
        <f>IF(OR(G398="",C398="",E398="",F398="",I398=""),"",IF(AND((COUNTIFS(DISPONIBILIDADE!A:A,G398,DISPONIBILIDADE!C:C,C398,DISPONIBILIDADE!D:D,"&lt;="&amp;E398,DISPONIBILIDADE!E:E,"&gt;="&amp;F398,DISPONIBILIDADE!F:F,I398,DISPONIBILIDADE!G:G,"Sim")+COUNTIFS(DISPONIBILIDADE!A:A,G398,DISPONIBILIDADE!C:C,C398,DISPONIBILIDADE!D:D,"&lt;="&amp;E398,DISPONIBILIDADE!E:E,"&gt;="&amp;F398,DISPONIBILIDADE!F:F,"Ambas",DISPONIBILIDADE!G:G,"Sim"))&gt;0,COUNTIFS($G$3:$G$502,G398,$B$3:$B$502,B398,$E$3:$E$502,"&lt;"&amp;F398,$F$3:$F$502,"&gt;"&amp;E398,$A$3:$A$502,"&lt;&gt;"&amp;A398)=0),"Sim","Não"))</f>
        <v/>
      </c>
      <c r="L398" s="13" t="str">
        <f>IF(OR(G398="",D398=""),"",IF(COUNTIFS('RESTRIÇÕES'!A:A,G398,'RESTRIÇÕES'!C:C,D398,'RESTRIÇÕES'!F:F,"Sim")&gt;0,"Com restrição","Sem restrição"))</f>
        <v/>
      </c>
      <c r="M398" s="13" t="str">
        <f t="shared" si="2"/>
        <v/>
      </c>
    </row>
    <row r="399" ht="15.75" customHeight="1">
      <c r="A399" s="11" t="str">
        <f t="shared" si="3"/>
        <v/>
      </c>
      <c r="B399" s="28"/>
      <c r="C399" s="11" t="str">
        <f t="shared" si="4"/>
        <v/>
      </c>
      <c r="D399" s="10"/>
      <c r="E399" s="19"/>
      <c r="F399" s="19"/>
      <c r="G399" s="10"/>
      <c r="H399" s="11" t="str">
        <f>IF(G399="","",IFERROR(VLOOKUP(G399,PROFESSORES!A:B,2,FALSE),""))</f>
        <v/>
      </c>
      <c r="I399" s="10"/>
      <c r="J399" s="10"/>
      <c r="K399" s="11" t="str">
        <f>IF(OR(G399="",C399="",E399="",F399="",I399=""),"",IF(AND((COUNTIFS(DISPONIBILIDADE!A:A,G399,DISPONIBILIDADE!C:C,C399,DISPONIBILIDADE!D:D,"&lt;="&amp;E399,DISPONIBILIDADE!E:E,"&gt;="&amp;F399,DISPONIBILIDADE!F:F,I399,DISPONIBILIDADE!G:G,"Sim")+COUNTIFS(DISPONIBILIDADE!A:A,G399,DISPONIBILIDADE!C:C,C399,DISPONIBILIDADE!D:D,"&lt;="&amp;E399,DISPONIBILIDADE!E:E,"&gt;="&amp;F399,DISPONIBILIDADE!F:F,"Ambas",DISPONIBILIDADE!G:G,"Sim"))&gt;0,COUNTIFS($G$3:$G$502,G399,$B$3:$B$502,B399,$E$3:$E$502,"&lt;"&amp;F399,$F$3:$F$502,"&gt;"&amp;E399,$A$3:$A$502,"&lt;&gt;"&amp;A399)=0),"Sim","Não"))</f>
        <v/>
      </c>
      <c r="L399" s="11" t="str">
        <f>IF(OR(G399="",D399=""),"",IF(COUNTIFS('RESTRIÇÕES'!A:A,G399,'RESTRIÇÕES'!C:C,D399,'RESTRIÇÕES'!F:F,"Sim")&gt;0,"Com restrição","Sem restrição"))</f>
        <v/>
      </c>
      <c r="M399" s="11" t="str">
        <f t="shared" si="2"/>
        <v/>
      </c>
    </row>
    <row r="400" ht="15.75" customHeight="1">
      <c r="A400" s="13" t="str">
        <f t="shared" si="3"/>
        <v/>
      </c>
      <c r="B400" s="27"/>
      <c r="C400" s="13" t="str">
        <f t="shared" si="4"/>
        <v/>
      </c>
      <c r="D400" s="12"/>
      <c r="E400" s="21"/>
      <c r="F400" s="21"/>
      <c r="G400" s="12"/>
      <c r="H400" s="13" t="str">
        <f>IF(G400="","",IFERROR(VLOOKUP(G400,PROFESSORES!A:B,2,FALSE),""))</f>
        <v/>
      </c>
      <c r="I400" s="12"/>
      <c r="J400" s="12"/>
      <c r="K400" s="13" t="str">
        <f>IF(OR(G400="",C400="",E400="",F400="",I400=""),"",IF(AND((COUNTIFS(DISPONIBILIDADE!A:A,G400,DISPONIBILIDADE!C:C,C400,DISPONIBILIDADE!D:D,"&lt;="&amp;E400,DISPONIBILIDADE!E:E,"&gt;="&amp;F400,DISPONIBILIDADE!F:F,I400,DISPONIBILIDADE!G:G,"Sim")+COUNTIFS(DISPONIBILIDADE!A:A,G400,DISPONIBILIDADE!C:C,C400,DISPONIBILIDADE!D:D,"&lt;="&amp;E400,DISPONIBILIDADE!E:E,"&gt;="&amp;F400,DISPONIBILIDADE!F:F,"Ambas",DISPONIBILIDADE!G:G,"Sim"))&gt;0,COUNTIFS($G$3:$G$502,G400,$B$3:$B$502,B400,$E$3:$E$502,"&lt;"&amp;F400,$F$3:$F$502,"&gt;"&amp;E400,$A$3:$A$502,"&lt;&gt;"&amp;A400)=0),"Sim","Não"))</f>
        <v/>
      </c>
      <c r="L400" s="13" t="str">
        <f>IF(OR(G400="",D400=""),"",IF(COUNTIFS('RESTRIÇÕES'!A:A,G400,'RESTRIÇÕES'!C:C,D400,'RESTRIÇÕES'!F:F,"Sim")&gt;0,"Com restrição","Sem restrição"))</f>
        <v/>
      </c>
      <c r="M400" s="13" t="str">
        <f t="shared" si="2"/>
        <v/>
      </c>
    </row>
    <row r="401" ht="15.75" customHeight="1">
      <c r="A401" s="11" t="str">
        <f t="shared" si="3"/>
        <v/>
      </c>
      <c r="B401" s="28"/>
      <c r="C401" s="11" t="str">
        <f t="shared" si="4"/>
        <v/>
      </c>
      <c r="D401" s="10"/>
      <c r="E401" s="19"/>
      <c r="F401" s="19"/>
      <c r="G401" s="10"/>
      <c r="H401" s="11" t="str">
        <f>IF(G401="","",IFERROR(VLOOKUP(G401,PROFESSORES!A:B,2,FALSE),""))</f>
        <v/>
      </c>
      <c r="I401" s="10"/>
      <c r="J401" s="10"/>
      <c r="K401" s="11" t="str">
        <f>IF(OR(G401="",C401="",E401="",F401="",I401=""),"",IF(AND((COUNTIFS(DISPONIBILIDADE!A:A,G401,DISPONIBILIDADE!C:C,C401,DISPONIBILIDADE!D:D,"&lt;="&amp;E401,DISPONIBILIDADE!E:E,"&gt;="&amp;F401,DISPONIBILIDADE!F:F,I401,DISPONIBILIDADE!G:G,"Sim")+COUNTIFS(DISPONIBILIDADE!A:A,G401,DISPONIBILIDADE!C:C,C401,DISPONIBILIDADE!D:D,"&lt;="&amp;E401,DISPONIBILIDADE!E:E,"&gt;="&amp;F401,DISPONIBILIDADE!F:F,"Ambas",DISPONIBILIDADE!G:G,"Sim"))&gt;0,COUNTIFS($G$3:$G$502,G401,$B$3:$B$502,B401,$E$3:$E$502,"&lt;"&amp;F401,$F$3:$F$502,"&gt;"&amp;E401,$A$3:$A$502,"&lt;&gt;"&amp;A401)=0),"Sim","Não"))</f>
        <v/>
      </c>
      <c r="L401" s="11" t="str">
        <f>IF(OR(G401="",D401=""),"",IF(COUNTIFS('RESTRIÇÕES'!A:A,G401,'RESTRIÇÕES'!C:C,D401,'RESTRIÇÕES'!F:F,"Sim")&gt;0,"Com restrição","Sem restrição"))</f>
        <v/>
      </c>
      <c r="M401" s="11" t="str">
        <f t="shared" si="2"/>
        <v/>
      </c>
    </row>
    <row r="402" ht="15.75" customHeight="1">
      <c r="A402" s="13" t="str">
        <f t="shared" si="3"/>
        <v/>
      </c>
      <c r="B402" s="27"/>
      <c r="C402" s="13" t="str">
        <f t="shared" si="4"/>
        <v/>
      </c>
      <c r="D402" s="12"/>
      <c r="E402" s="21"/>
      <c r="F402" s="21"/>
      <c r="G402" s="12"/>
      <c r="H402" s="13" t="str">
        <f>IF(G402="","",IFERROR(VLOOKUP(G402,PROFESSORES!A:B,2,FALSE),""))</f>
        <v/>
      </c>
      <c r="I402" s="12"/>
      <c r="J402" s="12"/>
      <c r="K402" s="13" t="str">
        <f>IF(OR(G402="",C402="",E402="",F402="",I402=""),"",IF(AND((COUNTIFS(DISPONIBILIDADE!A:A,G402,DISPONIBILIDADE!C:C,C402,DISPONIBILIDADE!D:D,"&lt;="&amp;E402,DISPONIBILIDADE!E:E,"&gt;="&amp;F402,DISPONIBILIDADE!F:F,I402,DISPONIBILIDADE!G:G,"Sim")+COUNTIFS(DISPONIBILIDADE!A:A,G402,DISPONIBILIDADE!C:C,C402,DISPONIBILIDADE!D:D,"&lt;="&amp;E402,DISPONIBILIDADE!E:E,"&gt;="&amp;F402,DISPONIBILIDADE!F:F,"Ambas",DISPONIBILIDADE!G:G,"Sim"))&gt;0,COUNTIFS($G$3:$G$502,G402,$B$3:$B$502,B402,$E$3:$E$502,"&lt;"&amp;F402,$F$3:$F$502,"&gt;"&amp;E402,$A$3:$A$502,"&lt;&gt;"&amp;A402)=0),"Sim","Não"))</f>
        <v/>
      </c>
      <c r="L402" s="13" t="str">
        <f>IF(OR(G402="",D402=""),"",IF(COUNTIFS('RESTRIÇÕES'!A:A,G402,'RESTRIÇÕES'!C:C,D402,'RESTRIÇÕES'!F:F,"Sim")&gt;0,"Com restrição","Sem restrição"))</f>
        <v/>
      </c>
      <c r="M402" s="13" t="str">
        <f t="shared" si="2"/>
        <v/>
      </c>
    </row>
    <row r="403" ht="15.75" customHeight="1">
      <c r="A403" s="11" t="str">
        <f t="shared" si="3"/>
        <v/>
      </c>
      <c r="B403" s="28"/>
      <c r="C403" s="11" t="str">
        <f t="shared" si="4"/>
        <v/>
      </c>
      <c r="D403" s="10"/>
      <c r="E403" s="19"/>
      <c r="F403" s="19"/>
      <c r="G403" s="10"/>
      <c r="H403" s="11" t="str">
        <f>IF(G403="","",IFERROR(VLOOKUP(G403,PROFESSORES!A:B,2,FALSE),""))</f>
        <v/>
      </c>
      <c r="I403" s="10"/>
      <c r="J403" s="10"/>
      <c r="K403" s="11" t="str">
        <f>IF(OR(G403="",C403="",E403="",F403="",I403=""),"",IF(AND((COUNTIFS(DISPONIBILIDADE!A:A,G403,DISPONIBILIDADE!C:C,C403,DISPONIBILIDADE!D:D,"&lt;="&amp;E403,DISPONIBILIDADE!E:E,"&gt;="&amp;F403,DISPONIBILIDADE!F:F,I403,DISPONIBILIDADE!G:G,"Sim")+COUNTIFS(DISPONIBILIDADE!A:A,G403,DISPONIBILIDADE!C:C,C403,DISPONIBILIDADE!D:D,"&lt;="&amp;E403,DISPONIBILIDADE!E:E,"&gt;="&amp;F403,DISPONIBILIDADE!F:F,"Ambas",DISPONIBILIDADE!G:G,"Sim"))&gt;0,COUNTIFS($G$3:$G$502,G403,$B$3:$B$502,B403,$E$3:$E$502,"&lt;"&amp;F403,$F$3:$F$502,"&gt;"&amp;E403,$A$3:$A$502,"&lt;&gt;"&amp;A403)=0),"Sim","Não"))</f>
        <v/>
      </c>
      <c r="L403" s="11" t="str">
        <f>IF(OR(G403="",D403=""),"",IF(COUNTIFS('RESTRIÇÕES'!A:A,G403,'RESTRIÇÕES'!C:C,D403,'RESTRIÇÕES'!F:F,"Sim")&gt;0,"Com restrição","Sem restrição"))</f>
        <v/>
      </c>
      <c r="M403" s="11" t="str">
        <f t="shared" si="2"/>
        <v/>
      </c>
    </row>
    <row r="404" ht="15.75" customHeight="1">
      <c r="A404" s="13" t="str">
        <f t="shared" si="3"/>
        <v/>
      </c>
      <c r="B404" s="27"/>
      <c r="C404" s="13" t="str">
        <f t="shared" si="4"/>
        <v/>
      </c>
      <c r="D404" s="12"/>
      <c r="E404" s="21"/>
      <c r="F404" s="21"/>
      <c r="G404" s="12"/>
      <c r="H404" s="13" t="str">
        <f>IF(G404="","",IFERROR(VLOOKUP(G404,PROFESSORES!A:B,2,FALSE),""))</f>
        <v/>
      </c>
      <c r="I404" s="12"/>
      <c r="J404" s="12"/>
      <c r="K404" s="13" t="str">
        <f>IF(OR(G404="",C404="",E404="",F404="",I404=""),"",IF(AND((COUNTIFS(DISPONIBILIDADE!A:A,G404,DISPONIBILIDADE!C:C,C404,DISPONIBILIDADE!D:D,"&lt;="&amp;E404,DISPONIBILIDADE!E:E,"&gt;="&amp;F404,DISPONIBILIDADE!F:F,I404,DISPONIBILIDADE!G:G,"Sim")+COUNTIFS(DISPONIBILIDADE!A:A,G404,DISPONIBILIDADE!C:C,C404,DISPONIBILIDADE!D:D,"&lt;="&amp;E404,DISPONIBILIDADE!E:E,"&gt;="&amp;F404,DISPONIBILIDADE!F:F,"Ambas",DISPONIBILIDADE!G:G,"Sim"))&gt;0,COUNTIFS($G$3:$G$502,G404,$B$3:$B$502,B404,$E$3:$E$502,"&lt;"&amp;F404,$F$3:$F$502,"&gt;"&amp;E404,$A$3:$A$502,"&lt;&gt;"&amp;A404)=0),"Sim","Não"))</f>
        <v/>
      </c>
      <c r="L404" s="13" t="str">
        <f>IF(OR(G404="",D404=""),"",IF(COUNTIFS('RESTRIÇÕES'!A:A,G404,'RESTRIÇÕES'!C:C,D404,'RESTRIÇÕES'!F:F,"Sim")&gt;0,"Com restrição","Sem restrição"))</f>
        <v/>
      </c>
      <c r="M404" s="13" t="str">
        <f t="shared" si="2"/>
        <v/>
      </c>
    </row>
    <row r="405" ht="15.75" customHeight="1">
      <c r="A405" s="11" t="str">
        <f t="shared" si="3"/>
        <v/>
      </c>
      <c r="B405" s="28"/>
      <c r="C405" s="11" t="str">
        <f t="shared" si="4"/>
        <v/>
      </c>
      <c r="D405" s="10"/>
      <c r="E405" s="19"/>
      <c r="F405" s="19"/>
      <c r="G405" s="10"/>
      <c r="H405" s="11" t="str">
        <f>IF(G405="","",IFERROR(VLOOKUP(G405,PROFESSORES!A:B,2,FALSE),""))</f>
        <v/>
      </c>
      <c r="I405" s="10"/>
      <c r="J405" s="10"/>
      <c r="K405" s="11" t="str">
        <f>IF(OR(G405="",C405="",E405="",F405="",I405=""),"",IF(AND((COUNTIFS(DISPONIBILIDADE!A:A,G405,DISPONIBILIDADE!C:C,C405,DISPONIBILIDADE!D:D,"&lt;="&amp;E405,DISPONIBILIDADE!E:E,"&gt;="&amp;F405,DISPONIBILIDADE!F:F,I405,DISPONIBILIDADE!G:G,"Sim")+COUNTIFS(DISPONIBILIDADE!A:A,G405,DISPONIBILIDADE!C:C,C405,DISPONIBILIDADE!D:D,"&lt;="&amp;E405,DISPONIBILIDADE!E:E,"&gt;="&amp;F405,DISPONIBILIDADE!F:F,"Ambas",DISPONIBILIDADE!G:G,"Sim"))&gt;0,COUNTIFS($G$3:$G$502,G405,$B$3:$B$502,B405,$E$3:$E$502,"&lt;"&amp;F405,$F$3:$F$502,"&gt;"&amp;E405,$A$3:$A$502,"&lt;&gt;"&amp;A405)=0),"Sim","Não"))</f>
        <v/>
      </c>
      <c r="L405" s="11" t="str">
        <f>IF(OR(G405="",D405=""),"",IF(COUNTIFS('RESTRIÇÕES'!A:A,G405,'RESTRIÇÕES'!C:C,D405,'RESTRIÇÕES'!F:F,"Sim")&gt;0,"Com restrição","Sem restrição"))</f>
        <v/>
      </c>
      <c r="M405" s="11" t="str">
        <f t="shared" si="2"/>
        <v/>
      </c>
    </row>
    <row r="406" ht="15.75" customHeight="1">
      <c r="A406" s="13" t="str">
        <f t="shared" si="3"/>
        <v/>
      </c>
      <c r="B406" s="27"/>
      <c r="C406" s="13" t="str">
        <f t="shared" si="4"/>
        <v/>
      </c>
      <c r="D406" s="12"/>
      <c r="E406" s="21"/>
      <c r="F406" s="21"/>
      <c r="G406" s="12"/>
      <c r="H406" s="13" t="str">
        <f>IF(G406="","",IFERROR(VLOOKUP(G406,PROFESSORES!A:B,2,FALSE),""))</f>
        <v/>
      </c>
      <c r="I406" s="12"/>
      <c r="J406" s="12"/>
      <c r="K406" s="13" t="str">
        <f>IF(OR(G406="",C406="",E406="",F406="",I406=""),"",IF(AND((COUNTIFS(DISPONIBILIDADE!A:A,G406,DISPONIBILIDADE!C:C,C406,DISPONIBILIDADE!D:D,"&lt;="&amp;E406,DISPONIBILIDADE!E:E,"&gt;="&amp;F406,DISPONIBILIDADE!F:F,I406,DISPONIBILIDADE!G:G,"Sim")+COUNTIFS(DISPONIBILIDADE!A:A,G406,DISPONIBILIDADE!C:C,C406,DISPONIBILIDADE!D:D,"&lt;="&amp;E406,DISPONIBILIDADE!E:E,"&gt;="&amp;F406,DISPONIBILIDADE!F:F,"Ambas",DISPONIBILIDADE!G:G,"Sim"))&gt;0,COUNTIFS($G$3:$G$502,G406,$B$3:$B$502,B406,$E$3:$E$502,"&lt;"&amp;F406,$F$3:$F$502,"&gt;"&amp;E406,$A$3:$A$502,"&lt;&gt;"&amp;A406)=0),"Sim","Não"))</f>
        <v/>
      </c>
      <c r="L406" s="13" t="str">
        <f>IF(OR(G406="",D406=""),"",IF(COUNTIFS('RESTRIÇÕES'!A:A,G406,'RESTRIÇÕES'!C:C,D406,'RESTRIÇÕES'!F:F,"Sim")&gt;0,"Com restrição","Sem restrição"))</f>
        <v/>
      </c>
      <c r="M406" s="13" t="str">
        <f t="shared" si="2"/>
        <v/>
      </c>
    </row>
    <row r="407" ht="15.75" customHeight="1">
      <c r="A407" s="11" t="str">
        <f t="shared" si="3"/>
        <v/>
      </c>
      <c r="B407" s="28"/>
      <c r="C407" s="11" t="str">
        <f t="shared" si="4"/>
        <v/>
      </c>
      <c r="D407" s="10"/>
      <c r="E407" s="19"/>
      <c r="F407" s="19"/>
      <c r="G407" s="10"/>
      <c r="H407" s="11" t="str">
        <f>IF(G407="","",IFERROR(VLOOKUP(G407,PROFESSORES!A:B,2,FALSE),""))</f>
        <v/>
      </c>
      <c r="I407" s="10"/>
      <c r="J407" s="10"/>
      <c r="K407" s="11" t="str">
        <f>IF(OR(G407="",C407="",E407="",F407="",I407=""),"",IF(AND((COUNTIFS(DISPONIBILIDADE!A:A,G407,DISPONIBILIDADE!C:C,C407,DISPONIBILIDADE!D:D,"&lt;="&amp;E407,DISPONIBILIDADE!E:E,"&gt;="&amp;F407,DISPONIBILIDADE!F:F,I407,DISPONIBILIDADE!G:G,"Sim")+COUNTIFS(DISPONIBILIDADE!A:A,G407,DISPONIBILIDADE!C:C,C407,DISPONIBILIDADE!D:D,"&lt;="&amp;E407,DISPONIBILIDADE!E:E,"&gt;="&amp;F407,DISPONIBILIDADE!F:F,"Ambas",DISPONIBILIDADE!G:G,"Sim"))&gt;0,COUNTIFS($G$3:$G$502,G407,$B$3:$B$502,B407,$E$3:$E$502,"&lt;"&amp;F407,$F$3:$F$502,"&gt;"&amp;E407,$A$3:$A$502,"&lt;&gt;"&amp;A407)=0),"Sim","Não"))</f>
        <v/>
      </c>
      <c r="L407" s="11" t="str">
        <f>IF(OR(G407="",D407=""),"",IF(COUNTIFS('RESTRIÇÕES'!A:A,G407,'RESTRIÇÕES'!C:C,D407,'RESTRIÇÕES'!F:F,"Sim")&gt;0,"Com restrição","Sem restrição"))</f>
        <v/>
      </c>
      <c r="M407" s="11" t="str">
        <f t="shared" si="2"/>
        <v/>
      </c>
    </row>
    <row r="408" ht="15.75" customHeight="1">
      <c r="A408" s="13" t="str">
        <f t="shared" si="3"/>
        <v/>
      </c>
      <c r="B408" s="27"/>
      <c r="C408" s="13" t="str">
        <f t="shared" si="4"/>
        <v/>
      </c>
      <c r="D408" s="12"/>
      <c r="E408" s="21"/>
      <c r="F408" s="21"/>
      <c r="G408" s="12"/>
      <c r="H408" s="13" t="str">
        <f>IF(G408="","",IFERROR(VLOOKUP(G408,PROFESSORES!A:B,2,FALSE),""))</f>
        <v/>
      </c>
      <c r="I408" s="12"/>
      <c r="J408" s="12"/>
      <c r="K408" s="13" t="str">
        <f>IF(OR(G408="",C408="",E408="",F408="",I408=""),"",IF(AND((COUNTIFS(DISPONIBILIDADE!A:A,G408,DISPONIBILIDADE!C:C,C408,DISPONIBILIDADE!D:D,"&lt;="&amp;E408,DISPONIBILIDADE!E:E,"&gt;="&amp;F408,DISPONIBILIDADE!F:F,I408,DISPONIBILIDADE!G:G,"Sim")+COUNTIFS(DISPONIBILIDADE!A:A,G408,DISPONIBILIDADE!C:C,C408,DISPONIBILIDADE!D:D,"&lt;="&amp;E408,DISPONIBILIDADE!E:E,"&gt;="&amp;F408,DISPONIBILIDADE!F:F,"Ambas",DISPONIBILIDADE!G:G,"Sim"))&gt;0,COUNTIFS($G$3:$G$502,G408,$B$3:$B$502,B408,$E$3:$E$502,"&lt;"&amp;F408,$F$3:$F$502,"&gt;"&amp;E408,$A$3:$A$502,"&lt;&gt;"&amp;A408)=0),"Sim","Não"))</f>
        <v/>
      </c>
      <c r="L408" s="13" t="str">
        <f>IF(OR(G408="",D408=""),"",IF(COUNTIFS('RESTRIÇÕES'!A:A,G408,'RESTRIÇÕES'!C:C,D408,'RESTRIÇÕES'!F:F,"Sim")&gt;0,"Com restrição","Sem restrição"))</f>
        <v/>
      </c>
      <c r="M408" s="13" t="str">
        <f t="shared" si="2"/>
        <v/>
      </c>
    </row>
    <row r="409" ht="15.75" customHeight="1">
      <c r="A409" s="11" t="str">
        <f t="shared" si="3"/>
        <v/>
      </c>
      <c r="B409" s="28"/>
      <c r="C409" s="11" t="str">
        <f t="shared" si="4"/>
        <v/>
      </c>
      <c r="D409" s="10"/>
      <c r="E409" s="19"/>
      <c r="F409" s="19"/>
      <c r="G409" s="10"/>
      <c r="H409" s="11" t="str">
        <f>IF(G409="","",IFERROR(VLOOKUP(G409,PROFESSORES!A:B,2,FALSE),""))</f>
        <v/>
      </c>
      <c r="I409" s="10"/>
      <c r="J409" s="10"/>
      <c r="K409" s="11" t="str">
        <f>IF(OR(G409="",C409="",E409="",F409="",I409=""),"",IF(AND((COUNTIFS(DISPONIBILIDADE!A:A,G409,DISPONIBILIDADE!C:C,C409,DISPONIBILIDADE!D:D,"&lt;="&amp;E409,DISPONIBILIDADE!E:E,"&gt;="&amp;F409,DISPONIBILIDADE!F:F,I409,DISPONIBILIDADE!G:G,"Sim")+COUNTIFS(DISPONIBILIDADE!A:A,G409,DISPONIBILIDADE!C:C,C409,DISPONIBILIDADE!D:D,"&lt;="&amp;E409,DISPONIBILIDADE!E:E,"&gt;="&amp;F409,DISPONIBILIDADE!F:F,"Ambas",DISPONIBILIDADE!G:G,"Sim"))&gt;0,COUNTIFS($G$3:$G$502,G409,$B$3:$B$502,B409,$E$3:$E$502,"&lt;"&amp;F409,$F$3:$F$502,"&gt;"&amp;E409,$A$3:$A$502,"&lt;&gt;"&amp;A409)=0),"Sim","Não"))</f>
        <v/>
      </c>
      <c r="L409" s="11" t="str">
        <f>IF(OR(G409="",D409=""),"",IF(COUNTIFS('RESTRIÇÕES'!A:A,G409,'RESTRIÇÕES'!C:C,D409,'RESTRIÇÕES'!F:F,"Sim")&gt;0,"Com restrição","Sem restrição"))</f>
        <v/>
      </c>
      <c r="M409" s="11" t="str">
        <f t="shared" si="2"/>
        <v/>
      </c>
    </row>
    <row r="410" ht="15.75" customHeight="1">
      <c r="A410" s="13" t="str">
        <f t="shared" si="3"/>
        <v/>
      </c>
      <c r="B410" s="27"/>
      <c r="C410" s="13" t="str">
        <f t="shared" si="4"/>
        <v/>
      </c>
      <c r="D410" s="12"/>
      <c r="E410" s="21"/>
      <c r="F410" s="21"/>
      <c r="G410" s="12"/>
      <c r="H410" s="13" t="str">
        <f>IF(G410="","",IFERROR(VLOOKUP(G410,PROFESSORES!A:B,2,FALSE),""))</f>
        <v/>
      </c>
      <c r="I410" s="12"/>
      <c r="J410" s="12"/>
      <c r="K410" s="13" t="str">
        <f>IF(OR(G410="",C410="",E410="",F410="",I410=""),"",IF(AND((COUNTIFS(DISPONIBILIDADE!A:A,G410,DISPONIBILIDADE!C:C,C410,DISPONIBILIDADE!D:D,"&lt;="&amp;E410,DISPONIBILIDADE!E:E,"&gt;="&amp;F410,DISPONIBILIDADE!F:F,I410,DISPONIBILIDADE!G:G,"Sim")+COUNTIFS(DISPONIBILIDADE!A:A,G410,DISPONIBILIDADE!C:C,C410,DISPONIBILIDADE!D:D,"&lt;="&amp;E410,DISPONIBILIDADE!E:E,"&gt;="&amp;F410,DISPONIBILIDADE!F:F,"Ambas",DISPONIBILIDADE!G:G,"Sim"))&gt;0,COUNTIFS($G$3:$G$502,G410,$B$3:$B$502,B410,$E$3:$E$502,"&lt;"&amp;F410,$F$3:$F$502,"&gt;"&amp;E410,$A$3:$A$502,"&lt;&gt;"&amp;A410)=0),"Sim","Não"))</f>
        <v/>
      </c>
      <c r="L410" s="13" t="str">
        <f>IF(OR(G410="",D410=""),"",IF(COUNTIFS('RESTRIÇÕES'!A:A,G410,'RESTRIÇÕES'!C:C,D410,'RESTRIÇÕES'!F:F,"Sim")&gt;0,"Com restrição","Sem restrição"))</f>
        <v/>
      </c>
      <c r="M410" s="13" t="str">
        <f t="shared" si="2"/>
        <v/>
      </c>
    </row>
    <row r="411" ht="15.75" customHeight="1">
      <c r="A411" s="11" t="str">
        <f t="shared" si="3"/>
        <v/>
      </c>
      <c r="B411" s="28"/>
      <c r="C411" s="11" t="str">
        <f t="shared" si="4"/>
        <v/>
      </c>
      <c r="D411" s="10"/>
      <c r="E411" s="19"/>
      <c r="F411" s="19"/>
      <c r="G411" s="10"/>
      <c r="H411" s="11" t="str">
        <f>IF(G411="","",IFERROR(VLOOKUP(G411,PROFESSORES!A:B,2,FALSE),""))</f>
        <v/>
      </c>
      <c r="I411" s="10"/>
      <c r="J411" s="10"/>
      <c r="K411" s="11" t="str">
        <f>IF(OR(G411="",C411="",E411="",F411="",I411=""),"",IF(AND((COUNTIFS(DISPONIBILIDADE!A:A,G411,DISPONIBILIDADE!C:C,C411,DISPONIBILIDADE!D:D,"&lt;="&amp;E411,DISPONIBILIDADE!E:E,"&gt;="&amp;F411,DISPONIBILIDADE!F:F,I411,DISPONIBILIDADE!G:G,"Sim")+COUNTIFS(DISPONIBILIDADE!A:A,G411,DISPONIBILIDADE!C:C,C411,DISPONIBILIDADE!D:D,"&lt;="&amp;E411,DISPONIBILIDADE!E:E,"&gt;="&amp;F411,DISPONIBILIDADE!F:F,"Ambas",DISPONIBILIDADE!G:G,"Sim"))&gt;0,COUNTIFS($G$3:$G$502,G411,$B$3:$B$502,B411,$E$3:$E$502,"&lt;"&amp;F411,$F$3:$F$502,"&gt;"&amp;E411,$A$3:$A$502,"&lt;&gt;"&amp;A411)=0),"Sim","Não"))</f>
        <v/>
      </c>
      <c r="L411" s="11" t="str">
        <f>IF(OR(G411="",D411=""),"",IF(COUNTIFS('RESTRIÇÕES'!A:A,G411,'RESTRIÇÕES'!C:C,D411,'RESTRIÇÕES'!F:F,"Sim")&gt;0,"Com restrição","Sem restrição"))</f>
        <v/>
      </c>
      <c r="M411" s="11" t="str">
        <f t="shared" si="2"/>
        <v/>
      </c>
    </row>
    <row r="412" ht="15.75" customHeight="1">
      <c r="A412" s="13" t="str">
        <f t="shared" si="3"/>
        <v/>
      </c>
      <c r="B412" s="27"/>
      <c r="C412" s="13" t="str">
        <f t="shared" si="4"/>
        <v/>
      </c>
      <c r="D412" s="12"/>
      <c r="E412" s="21"/>
      <c r="F412" s="21"/>
      <c r="G412" s="12"/>
      <c r="H412" s="13" t="str">
        <f>IF(G412="","",IFERROR(VLOOKUP(G412,PROFESSORES!A:B,2,FALSE),""))</f>
        <v/>
      </c>
      <c r="I412" s="12"/>
      <c r="J412" s="12"/>
      <c r="K412" s="13" t="str">
        <f>IF(OR(G412="",C412="",E412="",F412="",I412=""),"",IF(AND((COUNTIFS(DISPONIBILIDADE!A:A,G412,DISPONIBILIDADE!C:C,C412,DISPONIBILIDADE!D:D,"&lt;="&amp;E412,DISPONIBILIDADE!E:E,"&gt;="&amp;F412,DISPONIBILIDADE!F:F,I412,DISPONIBILIDADE!G:G,"Sim")+COUNTIFS(DISPONIBILIDADE!A:A,G412,DISPONIBILIDADE!C:C,C412,DISPONIBILIDADE!D:D,"&lt;="&amp;E412,DISPONIBILIDADE!E:E,"&gt;="&amp;F412,DISPONIBILIDADE!F:F,"Ambas",DISPONIBILIDADE!G:G,"Sim"))&gt;0,COUNTIFS($G$3:$G$502,G412,$B$3:$B$502,B412,$E$3:$E$502,"&lt;"&amp;F412,$F$3:$F$502,"&gt;"&amp;E412,$A$3:$A$502,"&lt;&gt;"&amp;A412)=0),"Sim","Não"))</f>
        <v/>
      </c>
      <c r="L412" s="13" t="str">
        <f>IF(OR(G412="",D412=""),"",IF(COUNTIFS('RESTRIÇÕES'!A:A,G412,'RESTRIÇÕES'!C:C,D412,'RESTRIÇÕES'!F:F,"Sim")&gt;0,"Com restrição","Sem restrição"))</f>
        <v/>
      </c>
      <c r="M412" s="13" t="str">
        <f t="shared" si="2"/>
        <v/>
      </c>
    </row>
    <row r="413" ht="15.75" customHeight="1">
      <c r="A413" s="11" t="str">
        <f t="shared" si="3"/>
        <v/>
      </c>
      <c r="B413" s="28"/>
      <c r="C413" s="11" t="str">
        <f t="shared" si="4"/>
        <v/>
      </c>
      <c r="D413" s="10"/>
      <c r="E413" s="19"/>
      <c r="F413" s="19"/>
      <c r="G413" s="10"/>
      <c r="H413" s="11" t="str">
        <f>IF(G413="","",IFERROR(VLOOKUP(G413,PROFESSORES!A:B,2,FALSE),""))</f>
        <v/>
      </c>
      <c r="I413" s="10"/>
      <c r="J413" s="10"/>
      <c r="K413" s="11" t="str">
        <f>IF(OR(G413="",C413="",E413="",F413="",I413=""),"",IF(AND((COUNTIFS(DISPONIBILIDADE!A:A,G413,DISPONIBILIDADE!C:C,C413,DISPONIBILIDADE!D:D,"&lt;="&amp;E413,DISPONIBILIDADE!E:E,"&gt;="&amp;F413,DISPONIBILIDADE!F:F,I413,DISPONIBILIDADE!G:G,"Sim")+COUNTIFS(DISPONIBILIDADE!A:A,G413,DISPONIBILIDADE!C:C,C413,DISPONIBILIDADE!D:D,"&lt;="&amp;E413,DISPONIBILIDADE!E:E,"&gt;="&amp;F413,DISPONIBILIDADE!F:F,"Ambas",DISPONIBILIDADE!G:G,"Sim"))&gt;0,COUNTIFS($G$3:$G$502,G413,$B$3:$B$502,B413,$E$3:$E$502,"&lt;"&amp;F413,$F$3:$F$502,"&gt;"&amp;E413,$A$3:$A$502,"&lt;&gt;"&amp;A413)=0),"Sim","Não"))</f>
        <v/>
      </c>
      <c r="L413" s="11" t="str">
        <f>IF(OR(G413="",D413=""),"",IF(COUNTIFS('RESTRIÇÕES'!A:A,G413,'RESTRIÇÕES'!C:C,D413,'RESTRIÇÕES'!F:F,"Sim")&gt;0,"Com restrição","Sem restrição"))</f>
        <v/>
      </c>
      <c r="M413" s="11" t="str">
        <f t="shared" si="2"/>
        <v/>
      </c>
    </row>
    <row r="414" ht="15.75" customHeight="1">
      <c r="A414" s="13" t="str">
        <f t="shared" si="3"/>
        <v/>
      </c>
      <c r="B414" s="27"/>
      <c r="C414" s="13" t="str">
        <f t="shared" si="4"/>
        <v/>
      </c>
      <c r="D414" s="12"/>
      <c r="E414" s="21"/>
      <c r="F414" s="21"/>
      <c r="G414" s="12"/>
      <c r="H414" s="13" t="str">
        <f>IF(G414="","",IFERROR(VLOOKUP(G414,PROFESSORES!A:B,2,FALSE),""))</f>
        <v/>
      </c>
      <c r="I414" s="12"/>
      <c r="J414" s="12"/>
      <c r="K414" s="13" t="str">
        <f>IF(OR(G414="",C414="",E414="",F414="",I414=""),"",IF(AND((COUNTIFS(DISPONIBILIDADE!A:A,G414,DISPONIBILIDADE!C:C,C414,DISPONIBILIDADE!D:D,"&lt;="&amp;E414,DISPONIBILIDADE!E:E,"&gt;="&amp;F414,DISPONIBILIDADE!F:F,I414,DISPONIBILIDADE!G:G,"Sim")+COUNTIFS(DISPONIBILIDADE!A:A,G414,DISPONIBILIDADE!C:C,C414,DISPONIBILIDADE!D:D,"&lt;="&amp;E414,DISPONIBILIDADE!E:E,"&gt;="&amp;F414,DISPONIBILIDADE!F:F,"Ambas",DISPONIBILIDADE!G:G,"Sim"))&gt;0,COUNTIFS($G$3:$G$502,G414,$B$3:$B$502,B414,$E$3:$E$502,"&lt;"&amp;F414,$F$3:$F$502,"&gt;"&amp;E414,$A$3:$A$502,"&lt;&gt;"&amp;A414)=0),"Sim","Não"))</f>
        <v/>
      </c>
      <c r="L414" s="13" t="str">
        <f>IF(OR(G414="",D414=""),"",IF(COUNTIFS('RESTRIÇÕES'!A:A,G414,'RESTRIÇÕES'!C:C,D414,'RESTRIÇÕES'!F:F,"Sim")&gt;0,"Com restrição","Sem restrição"))</f>
        <v/>
      </c>
      <c r="M414" s="13" t="str">
        <f t="shared" si="2"/>
        <v/>
      </c>
    </row>
    <row r="415" ht="15.75" customHeight="1">
      <c r="A415" s="11" t="str">
        <f t="shared" si="3"/>
        <v/>
      </c>
      <c r="B415" s="28"/>
      <c r="C415" s="11" t="str">
        <f t="shared" si="4"/>
        <v/>
      </c>
      <c r="D415" s="10"/>
      <c r="E415" s="19"/>
      <c r="F415" s="19"/>
      <c r="G415" s="10"/>
      <c r="H415" s="11" t="str">
        <f>IF(G415="","",IFERROR(VLOOKUP(G415,PROFESSORES!A:B,2,FALSE),""))</f>
        <v/>
      </c>
      <c r="I415" s="10"/>
      <c r="J415" s="10"/>
      <c r="K415" s="11" t="str">
        <f>IF(OR(G415="",C415="",E415="",F415="",I415=""),"",IF(AND((COUNTIFS(DISPONIBILIDADE!A:A,G415,DISPONIBILIDADE!C:C,C415,DISPONIBILIDADE!D:D,"&lt;="&amp;E415,DISPONIBILIDADE!E:E,"&gt;="&amp;F415,DISPONIBILIDADE!F:F,I415,DISPONIBILIDADE!G:G,"Sim")+COUNTIFS(DISPONIBILIDADE!A:A,G415,DISPONIBILIDADE!C:C,C415,DISPONIBILIDADE!D:D,"&lt;="&amp;E415,DISPONIBILIDADE!E:E,"&gt;="&amp;F415,DISPONIBILIDADE!F:F,"Ambas",DISPONIBILIDADE!G:G,"Sim"))&gt;0,COUNTIFS($G$3:$G$502,G415,$B$3:$B$502,B415,$E$3:$E$502,"&lt;"&amp;F415,$F$3:$F$502,"&gt;"&amp;E415,$A$3:$A$502,"&lt;&gt;"&amp;A415)=0),"Sim","Não"))</f>
        <v/>
      </c>
      <c r="L415" s="11" t="str">
        <f>IF(OR(G415="",D415=""),"",IF(COUNTIFS('RESTRIÇÕES'!A:A,G415,'RESTRIÇÕES'!C:C,D415,'RESTRIÇÕES'!F:F,"Sim")&gt;0,"Com restrição","Sem restrição"))</f>
        <v/>
      </c>
      <c r="M415" s="11" t="str">
        <f t="shared" si="2"/>
        <v/>
      </c>
    </row>
    <row r="416" ht="15.75" customHeight="1">
      <c r="A416" s="13" t="str">
        <f t="shared" si="3"/>
        <v/>
      </c>
      <c r="B416" s="27"/>
      <c r="C416" s="13" t="str">
        <f t="shared" si="4"/>
        <v/>
      </c>
      <c r="D416" s="12"/>
      <c r="E416" s="21"/>
      <c r="F416" s="21"/>
      <c r="G416" s="12"/>
      <c r="H416" s="13" t="str">
        <f>IF(G416="","",IFERROR(VLOOKUP(G416,PROFESSORES!A:B,2,FALSE),""))</f>
        <v/>
      </c>
      <c r="I416" s="12"/>
      <c r="J416" s="12"/>
      <c r="K416" s="13" t="str">
        <f>IF(OR(G416="",C416="",E416="",F416="",I416=""),"",IF(AND((COUNTIFS(DISPONIBILIDADE!A:A,G416,DISPONIBILIDADE!C:C,C416,DISPONIBILIDADE!D:D,"&lt;="&amp;E416,DISPONIBILIDADE!E:E,"&gt;="&amp;F416,DISPONIBILIDADE!F:F,I416,DISPONIBILIDADE!G:G,"Sim")+COUNTIFS(DISPONIBILIDADE!A:A,G416,DISPONIBILIDADE!C:C,C416,DISPONIBILIDADE!D:D,"&lt;="&amp;E416,DISPONIBILIDADE!E:E,"&gt;="&amp;F416,DISPONIBILIDADE!F:F,"Ambas",DISPONIBILIDADE!G:G,"Sim"))&gt;0,COUNTIFS($G$3:$G$502,G416,$B$3:$B$502,B416,$E$3:$E$502,"&lt;"&amp;F416,$F$3:$F$502,"&gt;"&amp;E416,$A$3:$A$502,"&lt;&gt;"&amp;A416)=0),"Sim","Não"))</f>
        <v/>
      </c>
      <c r="L416" s="13" t="str">
        <f>IF(OR(G416="",D416=""),"",IF(COUNTIFS('RESTRIÇÕES'!A:A,G416,'RESTRIÇÕES'!C:C,D416,'RESTRIÇÕES'!F:F,"Sim")&gt;0,"Com restrição","Sem restrição"))</f>
        <v/>
      </c>
      <c r="M416" s="13" t="str">
        <f t="shared" si="2"/>
        <v/>
      </c>
    </row>
    <row r="417" ht="15.75" customHeight="1">
      <c r="A417" s="11" t="str">
        <f t="shared" si="3"/>
        <v/>
      </c>
      <c r="B417" s="28"/>
      <c r="C417" s="11" t="str">
        <f t="shared" si="4"/>
        <v/>
      </c>
      <c r="D417" s="10"/>
      <c r="E417" s="19"/>
      <c r="F417" s="19"/>
      <c r="G417" s="10"/>
      <c r="H417" s="11" t="str">
        <f>IF(G417="","",IFERROR(VLOOKUP(G417,PROFESSORES!A:B,2,FALSE),""))</f>
        <v/>
      </c>
      <c r="I417" s="10"/>
      <c r="J417" s="10"/>
      <c r="K417" s="11" t="str">
        <f>IF(OR(G417="",C417="",E417="",F417="",I417=""),"",IF(AND((COUNTIFS(DISPONIBILIDADE!A:A,G417,DISPONIBILIDADE!C:C,C417,DISPONIBILIDADE!D:D,"&lt;="&amp;E417,DISPONIBILIDADE!E:E,"&gt;="&amp;F417,DISPONIBILIDADE!F:F,I417,DISPONIBILIDADE!G:G,"Sim")+COUNTIFS(DISPONIBILIDADE!A:A,G417,DISPONIBILIDADE!C:C,C417,DISPONIBILIDADE!D:D,"&lt;="&amp;E417,DISPONIBILIDADE!E:E,"&gt;="&amp;F417,DISPONIBILIDADE!F:F,"Ambas",DISPONIBILIDADE!G:G,"Sim"))&gt;0,COUNTIFS($G$3:$G$502,G417,$B$3:$B$502,B417,$E$3:$E$502,"&lt;"&amp;F417,$F$3:$F$502,"&gt;"&amp;E417,$A$3:$A$502,"&lt;&gt;"&amp;A417)=0),"Sim","Não"))</f>
        <v/>
      </c>
      <c r="L417" s="11" t="str">
        <f>IF(OR(G417="",D417=""),"",IF(COUNTIFS('RESTRIÇÕES'!A:A,G417,'RESTRIÇÕES'!C:C,D417,'RESTRIÇÕES'!F:F,"Sim")&gt;0,"Com restrição","Sem restrição"))</f>
        <v/>
      </c>
      <c r="M417" s="11" t="str">
        <f t="shared" si="2"/>
        <v/>
      </c>
    </row>
    <row r="418" ht="15.75" customHeight="1">
      <c r="A418" s="13" t="str">
        <f t="shared" si="3"/>
        <v/>
      </c>
      <c r="B418" s="27"/>
      <c r="C418" s="13" t="str">
        <f t="shared" si="4"/>
        <v/>
      </c>
      <c r="D418" s="12"/>
      <c r="E418" s="21"/>
      <c r="F418" s="21"/>
      <c r="G418" s="12"/>
      <c r="H418" s="13" t="str">
        <f>IF(G418="","",IFERROR(VLOOKUP(G418,PROFESSORES!A:B,2,FALSE),""))</f>
        <v/>
      </c>
      <c r="I418" s="12"/>
      <c r="J418" s="12"/>
      <c r="K418" s="13" t="str">
        <f>IF(OR(G418="",C418="",E418="",F418="",I418=""),"",IF(AND((COUNTIFS(DISPONIBILIDADE!A:A,G418,DISPONIBILIDADE!C:C,C418,DISPONIBILIDADE!D:D,"&lt;="&amp;E418,DISPONIBILIDADE!E:E,"&gt;="&amp;F418,DISPONIBILIDADE!F:F,I418,DISPONIBILIDADE!G:G,"Sim")+COUNTIFS(DISPONIBILIDADE!A:A,G418,DISPONIBILIDADE!C:C,C418,DISPONIBILIDADE!D:D,"&lt;="&amp;E418,DISPONIBILIDADE!E:E,"&gt;="&amp;F418,DISPONIBILIDADE!F:F,"Ambas",DISPONIBILIDADE!G:G,"Sim"))&gt;0,COUNTIFS($G$3:$G$502,G418,$B$3:$B$502,B418,$E$3:$E$502,"&lt;"&amp;F418,$F$3:$F$502,"&gt;"&amp;E418,$A$3:$A$502,"&lt;&gt;"&amp;A418)=0),"Sim","Não"))</f>
        <v/>
      </c>
      <c r="L418" s="13" t="str">
        <f>IF(OR(G418="",D418=""),"",IF(COUNTIFS('RESTRIÇÕES'!A:A,G418,'RESTRIÇÕES'!C:C,D418,'RESTRIÇÕES'!F:F,"Sim")&gt;0,"Com restrição","Sem restrição"))</f>
        <v/>
      </c>
      <c r="M418" s="13" t="str">
        <f t="shared" si="2"/>
        <v/>
      </c>
    </row>
    <row r="419" ht="15.75" customHeight="1">
      <c r="A419" s="11" t="str">
        <f t="shared" si="3"/>
        <v/>
      </c>
      <c r="B419" s="28"/>
      <c r="C419" s="11" t="str">
        <f t="shared" si="4"/>
        <v/>
      </c>
      <c r="D419" s="10"/>
      <c r="E419" s="19"/>
      <c r="F419" s="19"/>
      <c r="G419" s="10"/>
      <c r="H419" s="11" t="str">
        <f>IF(G419="","",IFERROR(VLOOKUP(G419,PROFESSORES!A:B,2,FALSE),""))</f>
        <v/>
      </c>
      <c r="I419" s="10"/>
      <c r="J419" s="10"/>
      <c r="K419" s="11" t="str">
        <f>IF(OR(G419="",C419="",E419="",F419="",I419=""),"",IF(AND((COUNTIFS(DISPONIBILIDADE!A:A,G419,DISPONIBILIDADE!C:C,C419,DISPONIBILIDADE!D:D,"&lt;="&amp;E419,DISPONIBILIDADE!E:E,"&gt;="&amp;F419,DISPONIBILIDADE!F:F,I419,DISPONIBILIDADE!G:G,"Sim")+COUNTIFS(DISPONIBILIDADE!A:A,G419,DISPONIBILIDADE!C:C,C419,DISPONIBILIDADE!D:D,"&lt;="&amp;E419,DISPONIBILIDADE!E:E,"&gt;="&amp;F419,DISPONIBILIDADE!F:F,"Ambas",DISPONIBILIDADE!G:G,"Sim"))&gt;0,COUNTIFS($G$3:$G$502,G419,$B$3:$B$502,B419,$E$3:$E$502,"&lt;"&amp;F419,$F$3:$F$502,"&gt;"&amp;E419,$A$3:$A$502,"&lt;&gt;"&amp;A419)=0),"Sim","Não"))</f>
        <v/>
      </c>
      <c r="L419" s="11" t="str">
        <f>IF(OR(G419="",D419=""),"",IF(COUNTIFS('RESTRIÇÕES'!A:A,G419,'RESTRIÇÕES'!C:C,D419,'RESTRIÇÕES'!F:F,"Sim")&gt;0,"Com restrição","Sem restrição"))</f>
        <v/>
      </c>
      <c r="M419" s="11" t="str">
        <f t="shared" si="2"/>
        <v/>
      </c>
    </row>
    <row r="420" ht="15.75" customHeight="1">
      <c r="A420" s="13" t="str">
        <f t="shared" si="3"/>
        <v/>
      </c>
      <c r="B420" s="27"/>
      <c r="C420" s="13" t="str">
        <f t="shared" si="4"/>
        <v/>
      </c>
      <c r="D420" s="12"/>
      <c r="E420" s="21"/>
      <c r="F420" s="21"/>
      <c r="G420" s="12"/>
      <c r="H420" s="13" t="str">
        <f>IF(G420="","",IFERROR(VLOOKUP(G420,PROFESSORES!A:B,2,FALSE),""))</f>
        <v/>
      </c>
      <c r="I420" s="12"/>
      <c r="J420" s="12"/>
      <c r="K420" s="13" t="str">
        <f>IF(OR(G420="",C420="",E420="",F420="",I420=""),"",IF(AND((COUNTIFS(DISPONIBILIDADE!A:A,G420,DISPONIBILIDADE!C:C,C420,DISPONIBILIDADE!D:D,"&lt;="&amp;E420,DISPONIBILIDADE!E:E,"&gt;="&amp;F420,DISPONIBILIDADE!F:F,I420,DISPONIBILIDADE!G:G,"Sim")+COUNTIFS(DISPONIBILIDADE!A:A,G420,DISPONIBILIDADE!C:C,C420,DISPONIBILIDADE!D:D,"&lt;="&amp;E420,DISPONIBILIDADE!E:E,"&gt;="&amp;F420,DISPONIBILIDADE!F:F,"Ambas",DISPONIBILIDADE!G:G,"Sim"))&gt;0,COUNTIFS($G$3:$G$502,G420,$B$3:$B$502,B420,$E$3:$E$502,"&lt;"&amp;F420,$F$3:$F$502,"&gt;"&amp;E420,$A$3:$A$502,"&lt;&gt;"&amp;A420)=0),"Sim","Não"))</f>
        <v/>
      </c>
      <c r="L420" s="13" t="str">
        <f>IF(OR(G420="",D420=""),"",IF(COUNTIFS('RESTRIÇÕES'!A:A,G420,'RESTRIÇÕES'!C:C,D420,'RESTRIÇÕES'!F:F,"Sim")&gt;0,"Com restrição","Sem restrição"))</f>
        <v/>
      </c>
      <c r="M420" s="13" t="str">
        <f t="shared" si="2"/>
        <v/>
      </c>
    </row>
    <row r="421" ht="15.75" customHeight="1">
      <c r="A421" s="11" t="str">
        <f t="shared" si="3"/>
        <v/>
      </c>
      <c r="B421" s="28"/>
      <c r="C421" s="11" t="str">
        <f t="shared" si="4"/>
        <v/>
      </c>
      <c r="D421" s="10"/>
      <c r="E421" s="19"/>
      <c r="F421" s="19"/>
      <c r="G421" s="10"/>
      <c r="H421" s="11" t="str">
        <f>IF(G421="","",IFERROR(VLOOKUP(G421,PROFESSORES!A:B,2,FALSE),""))</f>
        <v/>
      </c>
      <c r="I421" s="10"/>
      <c r="J421" s="10"/>
      <c r="K421" s="11" t="str">
        <f>IF(OR(G421="",C421="",E421="",F421="",I421=""),"",IF(AND((COUNTIFS(DISPONIBILIDADE!A:A,G421,DISPONIBILIDADE!C:C,C421,DISPONIBILIDADE!D:D,"&lt;="&amp;E421,DISPONIBILIDADE!E:E,"&gt;="&amp;F421,DISPONIBILIDADE!F:F,I421,DISPONIBILIDADE!G:G,"Sim")+COUNTIFS(DISPONIBILIDADE!A:A,G421,DISPONIBILIDADE!C:C,C421,DISPONIBILIDADE!D:D,"&lt;="&amp;E421,DISPONIBILIDADE!E:E,"&gt;="&amp;F421,DISPONIBILIDADE!F:F,"Ambas",DISPONIBILIDADE!G:G,"Sim"))&gt;0,COUNTIFS($G$3:$G$502,G421,$B$3:$B$502,B421,$E$3:$E$502,"&lt;"&amp;F421,$F$3:$F$502,"&gt;"&amp;E421,$A$3:$A$502,"&lt;&gt;"&amp;A421)=0),"Sim","Não"))</f>
        <v/>
      </c>
      <c r="L421" s="11" t="str">
        <f>IF(OR(G421="",D421=""),"",IF(COUNTIFS('RESTRIÇÕES'!A:A,G421,'RESTRIÇÕES'!C:C,D421,'RESTRIÇÕES'!F:F,"Sim")&gt;0,"Com restrição","Sem restrição"))</f>
        <v/>
      </c>
      <c r="M421" s="11" t="str">
        <f t="shared" si="2"/>
        <v/>
      </c>
    </row>
    <row r="422" ht="15.75" customHeight="1">
      <c r="A422" s="13" t="str">
        <f t="shared" si="3"/>
        <v/>
      </c>
      <c r="B422" s="27"/>
      <c r="C422" s="13" t="str">
        <f t="shared" si="4"/>
        <v/>
      </c>
      <c r="D422" s="12"/>
      <c r="E422" s="21"/>
      <c r="F422" s="21"/>
      <c r="G422" s="12"/>
      <c r="H422" s="13" t="str">
        <f>IF(G422="","",IFERROR(VLOOKUP(G422,PROFESSORES!A:B,2,FALSE),""))</f>
        <v/>
      </c>
      <c r="I422" s="12"/>
      <c r="J422" s="12"/>
      <c r="K422" s="13" t="str">
        <f>IF(OR(G422="",C422="",E422="",F422="",I422=""),"",IF(AND((COUNTIFS(DISPONIBILIDADE!A:A,G422,DISPONIBILIDADE!C:C,C422,DISPONIBILIDADE!D:D,"&lt;="&amp;E422,DISPONIBILIDADE!E:E,"&gt;="&amp;F422,DISPONIBILIDADE!F:F,I422,DISPONIBILIDADE!G:G,"Sim")+COUNTIFS(DISPONIBILIDADE!A:A,G422,DISPONIBILIDADE!C:C,C422,DISPONIBILIDADE!D:D,"&lt;="&amp;E422,DISPONIBILIDADE!E:E,"&gt;="&amp;F422,DISPONIBILIDADE!F:F,"Ambas",DISPONIBILIDADE!G:G,"Sim"))&gt;0,COUNTIFS($G$3:$G$502,G422,$B$3:$B$502,B422,$E$3:$E$502,"&lt;"&amp;F422,$F$3:$F$502,"&gt;"&amp;E422,$A$3:$A$502,"&lt;&gt;"&amp;A422)=0),"Sim","Não"))</f>
        <v/>
      </c>
      <c r="L422" s="13" t="str">
        <f>IF(OR(G422="",D422=""),"",IF(COUNTIFS('RESTRIÇÕES'!A:A,G422,'RESTRIÇÕES'!C:C,D422,'RESTRIÇÕES'!F:F,"Sim")&gt;0,"Com restrição","Sem restrição"))</f>
        <v/>
      </c>
      <c r="M422" s="13" t="str">
        <f t="shared" si="2"/>
        <v/>
      </c>
    </row>
    <row r="423" ht="15.75" customHeight="1">
      <c r="A423" s="11" t="str">
        <f t="shared" si="3"/>
        <v/>
      </c>
      <c r="B423" s="28"/>
      <c r="C423" s="11" t="str">
        <f t="shared" si="4"/>
        <v/>
      </c>
      <c r="D423" s="10"/>
      <c r="E423" s="19"/>
      <c r="F423" s="19"/>
      <c r="G423" s="10"/>
      <c r="H423" s="11" t="str">
        <f>IF(G423="","",IFERROR(VLOOKUP(G423,PROFESSORES!A:B,2,FALSE),""))</f>
        <v/>
      </c>
      <c r="I423" s="10"/>
      <c r="J423" s="10"/>
      <c r="K423" s="11" t="str">
        <f>IF(OR(G423="",C423="",E423="",F423="",I423=""),"",IF(AND((COUNTIFS(DISPONIBILIDADE!A:A,G423,DISPONIBILIDADE!C:C,C423,DISPONIBILIDADE!D:D,"&lt;="&amp;E423,DISPONIBILIDADE!E:E,"&gt;="&amp;F423,DISPONIBILIDADE!F:F,I423,DISPONIBILIDADE!G:G,"Sim")+COUNTIFS(DISPONIBILIDADE!A:A,G423,DISPONIBILIDADE!C:C,C423,DISPONIBILIDADE!D:D,"&lt;="&amp;E423,DISPONIBILIDADE!E:E,"&gt;="&amp;F423,DISPONIBILIDADE!F:F,"Ambas",DISPONIBILIDADE!G:G,"Sim"))&gt;0,COUNTIFS($G$3:$G$502,G423,$B$3:$B$502,B423,$E$3:$E$502,"&lt;"&amp;F423,$F$3:$F$502,"&gt;"&amp;E423,$A$3:$A$502,"&lt;&gt;"&amp;A423)=0),"Sim","Não"))</f>
        <v/>
      </c>
      <c r="L423" s="11" t="str">
        <f>IF(OR(G423="",D423=""),"",IF(COUNTIFS('RESTRIÇÕES'!A:A,G423,'RESTRIÇÕES'!C:C,D423,'RESTRIÇÕES'!F:F,"Sim")&gt;0,"Com restrição","Sem restrição"))</f>
        <v/>
      </c>
      <c r="M423" s="11" t="str">
        <f t="shared" si="2"/>
        <v/>
      </c>
    </row>
    <row r="424" ht="15.75" customHeight="1">
      <c r="A424" s="13" t="str">
        <f t="shared" si="3"/>
        <v/>
      </c>
      <c r="B424" s="27"/>
      <c r="C424" s="13" t="str">
        <f t="shared" si="4"/>
        <v/>
      </c>
      <c r="D424" s="12"/>
      <c r="E424" s="21"/>
      <c r="F424" s="21"/>
      <c r="G424" s="12"/>
      <c r="H424" s="13" t="str">
        <f>IF(G424="","",IFERROR(VLOOKUP(G424,PROFESSORES!A:B,2,FALSE),""))</f>
        <v/>
      </c>
      <c r="I424" s="12"/>
      <c r="J424" s="12"/>
      <c r="K424" s="13" t="str">
        <f>IF(OR(G424="",C424="",E424="",F424="",I424=""),"",IF(AND((COUNTIFS(DISPONIBILIDADE!A:A,G424,DISPONIBILIDADE!C:C,C424,DISPONIBILIDADE!D:D,"&lt;="&amp;E424,DISPONIBILIDADE!E:E,"&gt;="&amp;F424,DISPONIBILIDADE!F:F,I424,DISPONIBILIDADE!G:G,"Sim")+COUNTIFS(DISPONIBILIDADE!A:A,G424,DISPONIBILIDADE!C:C,C424,DISPONIBILIDADE!D:D,"&lt;="&amp;E424,DISPONIBILIDADE!E:E,"&gt;="&amp;F424,DISPONIBILIDADE!F:F,"Ambas",DISPONIBILIDADE!G:G,"Sim"))&gt;0,COUNTIFS($G$3:$G$502,G424,$B$3:$B$502,B424,$E$3:$E$502,"&lt;"&amp;F424,$F$3:$F$502,"&gt;"&amp;E424,$A$3:$A$502,"&lt;&gt;"&amp;A424)=0),"Sim","Não"))</f>
        <v/>
      </c>
      <c r="L424" s="13" t="str">
        <f>IF(OR(G424="",D424=""),"",IF(COUNTIFS('RESTRIÇÕES'!A:A,G424,'RESTRIÇÕES'!C:C,D424,'RESTRIÇÕES'!F:F,"Sim")&gt;0,"Com restrição","Sem restrição"))</f>
        <v/>
      </c>
      <c r="M424" s="13" t="str">
        <f t="shared" si="2"/>
        <v/>
      </c>
    </row>
    <row r="425" ht="15.75" customHeight="1">
      <c r="A425" s="11" t="str">
        <f t="shared" si="3"/>
        <v/>
      </c>
      <c r="B425" s="28"/>
      <c r="C425" s="11" t="str">
        <f t="shared" si="4"/>
        <v/>
      </c>
      <c r="D425" s="10"/>
      <c r="E425" s="19"/>
      <c r="F425" s="19"/>
      <c r="G425" s="10"/>
      <c r="H425" s="11" t="str">
        <f>IF(G425="","",IFERROR(VLOOKUP(G425,PROFESSORES!A:B,2,FALSE),""))</f>
        <v/>
      </c>
      <c r="I425" s="10"/>
      <c r="J425" s="10"/>
      <c r="K425" s="11" t="str">
        <f>IF(OR(G425="",C425="",E425="",F425="",I425=""),"",IF(AND((COUNTIFS(DISPONIBILIDADE!A:A,G425,DISPONIBILIDADE!C:C,C425,DISPONIBILIDADE!D:D,"&lt;="&amp;E425,DISPONIBILIDADE!E:E,"&gt;="&amp;F425,DISPONIBILIDADE!F:F,I425,DISPONIBILIDADE!G:G,"Sim")+COUNTIFS(DISPONIBILIDADE!A:A,G425,DISPONIBILIDADE!C:C,C425,DISPONIBILIDADE!D:D,"&lt;="&amp;E425,DISPONIBILIDADE!E:E,"&gt;="&amp;F425,DISPONIBILIDADE!F:F,"Ambas",DISPONIBILIDADE!G:G,"Sim"))&gt;0,COUNTIFS($G$3:$G$502,G425,$B$3:$B$502,B425,$E$3:$E$502,"&lt;"&amp;F425,$F$3:$F$502,"&gt;"&amp;E425,$A$3:$A$502,"&lt;&gt;"&amp;A425)=0),"Sim","Não"))</f>
        <v/>
      </c>
      <c r="L425" s="11" t="str">
        <f>IF(OR(G425="",D425=""),"",IF(COUNTIFS('RESTRIÇÕES'!A:A,G425,'RESTRIÇÕES'!C:C,D425,'RESTRIÇÕES'!F:F,"Sim")&gt;0,"Com restrição","Sem restrição"))</f>
        <v/>
      </c>
      <c r="M425" s="11" t="str">
        <f t="shared" si="2"/>
        <v/>
      </c>
    </row>
    <row r="426" ht="15.75" customHeight="1">
      <c r="A426" s="13" t="str">
        <f t="shared" si="3"/>
        <v/>
      </c>
      <c r="B426" s="27"/>
      <c r="C426" s="13" t="str">
        <f t="shared" si="4"/>
        <v/>
      </c>
      <c r="D426" s="12"/>
      <c r="E426" s="21"/>
      <c r="F426" s="21"/>
      <c r="G426" s="12"/>
      <c r="H426" s="13" t="str">
        <f>IF(G426="","",IFERROR(VLOOKUP(G426,PROFESSORES!A:B,2,FALSE),""))</f>
        <v/>
      </c>
      <c r="I426" s="12"/>
      <c r="J426" s="12"/>
      <c r="K426" s="13" t="str">
        <f>IF(OR(G426="",C426="",E426="",F426="",I426=""),"",IF(AND((COUNTIFS(DISPONIBILIDADE!A:A,G426,DISPONIBILIDADE!C:C,C426,DISPONIBILIDADE!D:D,"&lt;="&amp;E426,DISPONIBILIDADE!E:E,"&gt;="&amp;F426,DISPONIBILIDADE!F:F,I426,DISPONIBILIDADE!G:G,"Sim")+COUNTIFS(DISPONIBILIDADE!A:A,G426,DISPONIBILIDADE!C:C,C426,DISPONIBILIDADE!D:D,"&lt;="&amp;E426,DISPONIBILIDADE!E:E,"&gt;="&amp;F426,DISPONIBILIDADE!F:F,"Ambas",DISPONIBILIDADE!G:G,"Sim"))&gt;0,COUNTIFS($G$3:$G$502,G426,$B$3:$B$502,B426,$E$3:$E$502,"&lt;"&amp;F426,$F$3:$F$502,"&gt;"&amp;E426,$A$3:$A$502,"&lt;&gt;"&amp;A426)=0),"Sim","Não"))</f>
        <v/>
      </c>
      <c r="L426" s="13" t="str">
        <f>IF(OR(G426="",D426=""),"",IF(COUNTIFS('RESTRIÇÕES'!A:A,G426,'RESTRIÇÕES'!C:C,D426,'RESTRIÇÕES'!F:F,"Sim")&gt;0,"Com restrição","Sem restrição"))</f>
        <v/>
      </c>
      <c r="M426" s="13" t="str">
        <f t="shared" si="2"/>
        <v/>
      </c>
    </row>
    <row r="427" ht="15.75" customHeight="1">
      <c r="A427" s="11" t="str">
        <f t="shared" si="3"/>
        <v/>
      </c>
      <c r="B427" s="28"/>
      <c r="C427" s="11" t="str">
        <f t="shared" si="4"/>
        <v/>
      </c>
      <c r="D427" s="10"/>
      <c r="E427" s="19"/>
      <c r="F427" s="19"/>
      <c r="G427" s="10"/>
      <c r="H427" s="11" t="str">
        <f>IF(G427="","",IFERROR(VLOOKUP(G427,PROFESSORES!A:B,2,FALSE),""))</f>
        <v/>
      </c>
      <c r="I427" s="10"/>
      <c r="J427" s="10"/>
      <c r="K427" s="11" t="str">
        <f>IF(OR(G427="",C427="",E427="",F427="",I427=""),"",IF(AND((COUNTIFS(DISPONIBILIDADE!A:A,G427,DISPONIBILIDADE!C:C,C427,DISPONIBILIDADE!D:D,"&lt;="&amp;E427,DISPONIBILIDADE!E:E,"&gt;="&amp;F427,DISPONIBILIDADE!F:F,I427,DISPONIBILIDADE!G:G,"Sim")+COUNTIFS(DISPONIBILIDADE!A:A,G427,DISPONIBILIDADE!C:C,C427,DISPONIBILIDADE!D:D,"&lt;="&amp;E427,DISPONIBILIDADE!E:E,"&gt;="&amp;F427,DISPONIBILIDADE!F:F,"Ambas",DISPONIBILIDADE!G:G,"Sim"))&gt;0,COUNTIFS($G$3:$G$502,G427,$B$3:$B$502,B427,$E$3:$E$502,"&lt;"&amp;F427,$F$3:$F$502,"&gt;"&amp;E427,$A$3:$A$502,"&lt;&gt;"&amp;A427)=0),"Sim","Não"))</f>
        <v/>
      </c>
      <c r="L427" s="11" t="str">
        <f>IF(OR(G427="",D427=""),"",IF(COUNTIFS('RESTRIÇÕES'!A:A,G427,'RESTRIÇÕES'!C:C,D427,'RESTRIÇÕES'!F:F,"Sim")&gt;0,"Com restrição","Sem restrição"))</f>
        <v/>
      </c>
      <c r="M427" s="11" t="str">
        <f t="shared" si="2"/>
        <v/>
      </c>
    </row>
    <row r="428" ht="15.75" customHeight="1">
      <c r="A428" s="13" t="str">
        <f t="shared" si="3"/>
        <v/>
      </c>
      <c r="B428" s="27"/>
      <c r="C428" s="13" t="str">
        <f t="shared" si="4"/>
        <v/>
      </c>
      <c r="D428" s="12"/>
      <c r="E428" s="21"/>
      <c r="F428" s="21"/>
      <c r="G428" s="12"/>
      <c r="H428" s="13" t="str">
        <f>IF(G428="","",IFERROR(VLOOKUP(G428,PROFESSORES!A:B,2,FALSE),""))</f>
        <v/>
      </c>
      <c r="I428" s="12"/>
      <c r="J428" s="12"/>
      <c r="K428" s="13" t="str">
        <f>IF(OR(G428="",C428="",E428="",F428="",I428=""),"",IF(AND((COUNTIFS(DISPONIBILIDADE!A:A,G428,DISPONIBILIDADE!C:C,C428,DISPONIBILIDADE!D:D,"&lt;="&amp;E428,DISPONIBILIDADE!E:E,"&gt;="&amp;F428,DISPONIBILIDADE!F:F,I428,DISPONIBILIDADE!G:G,"Sim")+COUNTIFS(DISPONIBILIDADE!A:A,G428,DISPONIBILIDADE!C:C,C428,DISPONIBILIDADE!D:D,"&lt;="&amp;E428,DISPONIBILIDADE!E:E,"&gt;="&amp;F428,DISPONIBILIDADE!F:F,"Ambas",DISPONIBILIDADE!G:G,"Sim"))&gt;0,COUNTIFS($G$3:$G$502,G428,$B$3:$B$502,B428,$E$3:$E$502,"&lt;"&amp;F428,$F$3:$F$502,"&gt;"&amp;E428,$A$3:$A$502,"&lt;&gt;"&amp;A428)=0),"Sim","Não"))</f>
        <v/>
      </c>
      <c r="L428" s="13" t="str">
        <f>IF(OR(G428="",D428=""),"",IF(COUNTIFS('RESTRIÇÕES'!A:A,G428,'RESTRIÇÕES'!C:C,D428,'RESTRIÇÕES'!F:F,"Sim")&gt;0,"Com restrição","Sem restrição"))</f>
        <v/>
      </c>
      <c r="M428" s="13" t="str">
        <f t="shared" si="2"/>
        <v/>
      </c>
    </row>
    <row r="429" ht="15.75" customHeight="1">
      <c r="A429" s="11" t="str">
        <f t="shared" si="3"/>
        <v/>
      </c>
      <c r="B429" s="28"/>
      <c r="C429" s="11" t="str">
        <f t="shared" si="4"/>
        <v/>
      </c>
      <c r="D429" s="10"/>
      <c r="E429" s="19"/>
      <c r="F429" s="19"/>
      <c r="G429" s="10"/>
      <c r="H429" s="11" t="str">
        <f>IF(G429="","",IFERROR(VLOOKUP(G429,PROFESSORES!A:B,2,FALSE),""))</f>
        <v/>
      </c>
      <c r="I429" s="10"/>
      <c r="J429" s="10"/>
      <c r="K429" s="11" t="str">
        <f>IF(OR(G429="",C429="",E429="",F429="",I429=""),"",IF(AND((COUNTIFS(DISPONIBILIDADE!A:A,G429,DISPONIBILIDADE!C:C,C429,DISPONIBILIDADE!D:D,"&lt;="&amp;E429,DISPONIBILIDADE!E:E,"&gt;="&amp;F429,DISPONIBILIDADE!F:F,I429,DISPONIBILIDADE!G:G,"Sim")+COUNTIFS(DISPONIBILIDADE!A:A,G429,DISPONIBILIDADE!C:C,C429,DISPONIBILIDADE!D:D,"&lt;="&amp;E429,DISPONIBILIDADE!E:E,"&gt;="&amp;F429,DISPONIBILIDADE!F:F,"Ambas",DISPONIBILIDADE!G:G,"Sim"))&gt;0,COUNTIFS($G$3:$G$502,G429,$B$3:$B$502,B429,$E$3:$E$502,"&lt;"&amp;F429,$F$3:$F$502,"&gt;"&amp;E429,$A$3:$A$502,"&lt;&gt;"&amp;A429)=0),"Sim","Não"))</f>
        <v/>
      </c>
      <c r="L429" s="11" t="str">
        <f>IF(OR(G429="",D429=""),"",IF(COUNTIFS('RESTRIÇÕES'!A:A,G429,'RESTRIÇÕES'!C:C,D429,'RESTRIÇÕES'!F:F,"Sim")&gt;0,"Com restrição","Sem restrição"))</f>
        <v/>
      </c>
      <c r="M429" s="11" t="str">
        <f t="shared" si="2"/>
        <v/>
      </c>
    </row>
    <row r="430" ht="15.75" customHeight="1">
      <c r="A430" s="13" t="str">
        <f t="shared" si="3"/>
        <v/>
      </c>
      <c r="B430" s="27"/>
      <c r="C430" s="13" t="str">
        <f t="shared" si="4"/>
        <v/>
      </c>
      <c r="D430" s="12"/>
      <c r="E430" s="21"/>
      <c r="F430" s="21"/>
      <c r="G430" s="12"/>
      <c r="H430" s="13" t="str">
        <f>IF(G430="","",IFERROR(VLOOKUP(G430,PROFESSORES!A:B,2,FALSE),""))</f>
        <v/>
      </c>
      <c r="I430" s="12"/>
      <c r="J430" s="12"/>
      <c r="K430" s="13" t="str">
        <f>IF(OR(G430="",C430="",E430="",F430="",I430=""),"",IF(AND((COUNTIFS(DISPONIBILIDADE!A:A,G430,DISPONIBILIDADE!C:C,C430,DISPONIBILIDADE!D:D,"&lt;="&amp;E430,DISPONIBILIDADE!E:E,"&gt;="&amp;F430,DISPONIBILIDADE!F:F,I430,DISPONIBILIDADE!G:G,"Sim")+COUNTIFS(DISPONIBILIDADE!A:A,G430,DISPONIBILIDADE!C:C,C430,DISPONIBILIDADE!D:D,"&lt;="&amp;E430,DISPONIBILIDADE!E:E,"&gt;="&amp;F430,DISPONIBILIDADE!F:F,"Ambas",DISPONIBILIDADE!G:G,"Sim"))&gt;0,COUNTIFS($G$3:$G$502,G430,$B$3:$B$502,B430,$E$3:$E$502,"&lt;"&amp;F430,$F$3:$F$502,"&gt;"&amp;E430,$A$3:$A$502,"&lt;&gt;"&amp;A430)=0),"Sim","Não"))</f>
        <v/>
      </c>
      <c r="L430" s="13" t="str">
        <f>IF(OR(G430="",D430=""),"",IF(COUNTIFS('RESTRIÇÕES'!A:A,G430,'RESTRIÇÕES'!C:C,D430,'RESTRIÇÕES'!F:F,"Sim")&gt;0,"Com restrição","Sem restrição"))</f>
        <v/>
      </c>
      <c r="M430" s="13" t="str">
        <f t="shared" si="2"/>
        <v/>
      </c>
    </row>
    <row r="431" ht="15.75" customHeight="1">
      <c r="A431" s="11" t="str">
        <f t="shared" si="3"/>
        <v/>
      </c>
      <c r="B431" s="28"/>
      <c r="C431" s="11" t="str">
        <f t="shared" si="4"/>
        <v/>
      </c>
      <c r="D431" s="10"/>
      <c r="E431" s="19"/>
      <c r="F431" s="19"/>
      <c r="G431" s="10"/>
      <c r="H431" s="11" t="str">
        <f>IF(G431="","",IFERROR(VLOOKUP(G431,PROFESSORES!A:B,2,FALSE),""))</f>
        <v/>
      </c>
      <c r="I431" s="10"/>
      <c r="J431" s="10"/>
      <c r="K431" s="11" t="str">
        <f>IF(OR(G431="",C431="",E431="",F431="",I431=""),"",IF(AND((COUNTIFS(DISPONIBILIDADE!A:A,G431,DISPONIBILIDADE!C:C,C431,DISPONIBILIDADE!D:D,"&lt;="&amp;E431,DISPONIBILIDADE!E:E,"&gt;="&amp;F431,DISPONIBILIDADE!F:F,I431,DISPONIBILIDADE!G:G,"Sim")+COUNTIFS(DISPONIBILIDADE!A:A,G431,DISPONIBILIDADE!C:C,C431,DISPONIBILIDADE!D:D,"&lt;="&amp;E431,DISPONIBILIDADE!E:E,"&gt;="&amp;F431,DISPONIBILIDADE!F:F,"Ambas",DISPONIBILIDADE!G:G,"Sim"))&gt;0,COUNTIFS($G$3:$G$502,G431,$B$3:$B$502,B431,$E$3:$E$502,"&lt;"&amp;F431,$F$3:$F$502,"&gt;"&amp;E431,$A$3:$A$502,"&lt;&gt;"&amp;A431)=0),"Sim","Não"))</f>
        <v/>
      </c>
      <c r="L431" s="11" t="str">
        <f>IF(OR(G431="",D431=""),"",IF(COUNTIFS('RESTRIÇÕES'!A:A,G431,'RESTRIÇÕES'!C:C,D431,'RESTRIÇÕES'!F:F,"Sim")&gt;0,"Com restrição","Sem restrição"))</f>
        <v/>
      </c>
      <c r="M431" s="11" t="str">
        <f t="shared" si="2"/>
        <v/>
      </c>
    </row>
    <row r="432" ht="15.75" customHeight="1">
      <c r="A432" s="13" t="str">
        <f t="shared" si="3"/>
        <v/>
      </c>
      <c r="B432" s="27"/>
      <c r="C432" s="13" t="str">
        <f t="shared" si="4"/>
        <v/>
      </c>
      <c r="D432" s="12"/>
      <c r="E432" s="21"/>
      <c r="F432" s="21"/>
      <c r="G432" s="12"/>
      <c r="H432" s="13" t="str">
        <f>IF(G432="","",IFERROR(VLOOKUP(G432,PROFESSORES!A:B,2,FALSE),""))</f>
        <v/>
      </c>
      <c r="I432" s="12"/>
      <c r="J432" s="12"/>
      <c r="K432" s="13" t="str">
        <f>IF(OR(G432="",C432="",E432="",F432="",I432=""),"",IF(AND((COUNTIFS(DISPONIBILIDADE!A:A,G432,DISPONIBILIDADE!C:C,C432,DISPONIBILIDADE!D:D,"&lt;="&amp;E432,DISPONIBILIDADE!E:E,"&gt;="&amp;F432,DISPONIBILIDADE!F:F,I432,DISPONIBILIDADE!G:G,"Sim")+COUNTIFS(DISPONIBILIDADE!A:A,G432,DISPONIBILIDADE!C:C,C432,DISPONIBILIDADE!D:D,"&lt;="&amp;E432,DISPONIBILIDADE!E:E,"&gt;="&amp;F432,DISPONIBILIDADE!F:F,"Ambas",DISPONIBILIDADE!G:G,"Sim"))&gt;0,COUNTIFS($G$3:$G$502,G432,$B$3:$B$502,B432,$E$3:$E$502,"&lt;"&amp;F432,$F$3:$F$502,"&gt;"&amp;E432,$A$3:$A$502,"&lt;&gt;"&amp;A432)=0),"Sim","Não"))</f>
        <v/>
      </c>
      <c r="L432" s="13" t="str">
        <f>IF(OR(G432="",D432=""),"",IF(COUNTIFS('RESTRIÇÕES'!A:A,G432,'RESTRIÇÕES'!C:C,D432,'RESTRIÇÕES'!F:F,"Sim")&gt;0,"Com restrição","Sem restrição"))</f>
        <v/>
      </c>
      <c r="M432" s="13" t="str">
        <f t="shared" si="2"/>
        <v/>
      </c>
    </row>
    <row r="433" ht="15.75" customHeight="1">
      <c r="A433" s="11" t="str">
        <f t="shared" si="3"/>
        <v/>
      </c>
      <c r="B433" s="28"/>
      <c r="C433" s="11" t="str">
        <f t="shared" si="4"/>
        <v/>
      </c>
      <c r="D433" s="10"/>
      <c r="E433" s="19"/>
      <c r="F433" s="19"/>
      <c r="G433" s="10"/>
      <c r="H433" s="11" t="str">
        <f>IF(G433="","",IFERROR(VLOOKUP(G433,PROFESSORES!A:B,2,FALSE),""))</f>
        <v/>
      </c>
      <c r="I433" s="10"/>
      <c r="J433" s="10"/>
      <c r="K433" s="11" t="str">
        <f>IF(OR(G433="",C433="",E433="",F433="",I433=""),"",IF(AND((COUNTIFS(DISPONIBILIDADE!A:A,G433,DISPONIBILIDADE!C:C,C433,DISPONIBILIDADE!D:D,"&lt;="&amp;E433,DISPONIBILIDADE!E:E,"&gt;="&amp;F433,DISPONIBILIDADE!F:F,I433,DISPONIBILIDADE!G:G,"Sim")+COUNTIFS(DISPONIBILIDADE!A:A,G433,DISPONIBILIDADE!C:C,C433,DISPONIBILIDADE!D:D,"&lt;="&amp;E433,DISPONIBILIDADE!E:E,"&gt;="&amp;F433,DISPONIBILIDADE!F:F,"Ambas",DISPONIBILIDADE!G:G,"Sim"))&gt;0,COUNTIFS($G$3:$G$502,G433,$B$3:$B$502,B433,$E$3:$E$502,"&lt;"&amp;F433,$F$3:$F$502,"&gt;"&amp;E433,$A$3:$A$502,"&lt;&gt;"&amp;A433)=0),"Sim","Não"))</f>
        <v/>
      </c>
      <c r="L433" s="11" t="str">
        <f>IF(OR(G433="",D433=""),"",IF(COUNTIFS('RESTRIÇÕES'!A:A,G433,'RESTRIÇÕES'!C:C,D433,'RESTRIÇÕES'!F:F,"Sim")&gt;0,"Com restrição","Sem restrição"))</f>
        <v/>
      </c>
      <c r="M433" s="11" t="str">
        <f t="shared" si="2"/>
        <v/>
      </c>
    </row>
    <row r="434" ht="15.75" customHeight="1">
      <c r="A434" s="13" t="str">
        <f t="shared" si="3"/>
        <v/>
      </c>
      <c r="B434" s="27"/>
      <c r="C434" s="13" t="str">
        <f t="shared" si="4"/>
        <v/>
      </c>
      <c r="D434" s="12"/>
      <c r="E434" s="21"/>
      <c r="F434" s="21"/>
      <c r="G434" s="12"/>
      <c r="H434" s="13" t="str">
        <f>IF(G434="","",IFERROR(VLOOKUP(G434,PROFESSORES!A:B,2,FALSE),""))</f>
        <v/>
      </c>
      <c r="I434" s="12"/>
      <c r="J434" s="12"/>
      <c r="K434" s="13" t="str">
        <f>IF(OR(G434="",C434="",E434="",F434="",I434=""),"",IF(AND((COUNTIFS(DISPONIBILIDADE!A:A,G434,DISPONIBILIDADE!C:C,C434,DISPONIBILIDADE!D:D,"&lt;="&amp;E434,DISPONIBILIDADE!E:E,"&gt;="&amp;F434,DISPONIBILIDADE!F:F,I434,DISPONIBILIDADE!G:G,"Sim")+COUNTIFS(DISPONIBILIDADE!A:A,G434,DISPONIBILIDADE!C:C,C434,DISPONIBILIDADE!D:D,"&lt;="&amp;E434,DISPONIBILIDADE!E:E,"&gt;="&amp;F434,DISPONIBILIDADE!F:F,"Ambas",DISPONIBILIDADE!G:G,"Sim"))&gt;0,COUNTIFS($G$3:$G$502,G434,$B$3:$B$502,B434,$E$3:$E$502,"&lt;"&amp;F434,$F$3:$F$502,"&gt;"&amp;E434,$A$3:$A$502,"&lt;&gt;"&amp;A434)=0),"Sim","Não"))</f>
        <v/>
      </c>
      <c r="L434" s="13" t="str">
        <f>IF(OR(G434="",D434=""),"",IF(COUNTIFS('RESTRIÇÕES'!A:A,G434,'RESTRIÇÕES'!C:C,D434,'RESTRIÇÕES'!F:F,"Sim")&gt;0,"Com restrição","Sem restrição"))</f>
        <v/>
      </c>
      <c r="M434" s="13" t="str">
        <f t="shared" si="2"/>
        <v/>
      </c>
    </row>
    <row r="435" ht="15.75" customHeight="1">
      <c r="A435" s="11" t="str">
        <f t="shared" si="3"/>
        <v/>
      </c>
      <c r="B435" s="28"/>
      <c r="C435" s="11" t="str">
        <f t="shared" si="4"/>
        <v/>
      </c>
      <c r="D435" s="10"/>
      <c r="E435" s="19"/>
      <c r="F435" s="19"/>
      <c r="G435" s="10"/>
      <c r="H435" s="11" t="str">
        <f>IF(G435="","",IFERROR(VLOOKUP(G435,PROFESSORES!A:B,2,FALSE),""))</f>
        <v/>
      </c>
      <c r="I435" s="10"/>
      <c r="J435" s="10"/>
      <c r="K435" s="11" t="str">
        <f>IF(OR(G435="",C435="",E435="",F435="",I435=""),"",IF(AND((COUNTIFS(DISPONIBILIDADE!A:A,G435,DISPONIBILIDADE!C:C,C435,DISPONIBILIDADE!D:D,"&lt;="&amp;E435,DISPONIBILIDADE!E:E,"&gt;="&amp;F435,DISPONIBILIDADE!F:F,I435,DISPONIBILIDADE!G:G,"Sim")+COUNTIFS(DISPONIBILIDADE!A:A,G435,DISPONIBILIDADE!C:C,C435,DISPONIBILIDADE!D:D,"&lt;="&amp;E435,DISPONIBILIDADE!E:E,"&gt;="&amp;F435,DISPONIBILIDADE!F:F,"Ambas",DISPONIBILIDADE!G:G,"Sim"))&gt;0,COUNTIFS($G$3:$G$502,G435,$B$3:$B$502,B435,$E$3:$E$502,"&lt;"&amp;F435,$F$3:$F$502,"&gt;"&amp;E435,$A$3:$A$502,"&lt;&gt;"&amp;A435)=0),"Sim","Não"))</f>
        <v/>
      </c>
      <c r="L435" s="11" t="str">
        <f>IF(OR(G435="",D435=""),"",IF(COUNTIFS('RESTRIÇÕES'!A:A,G435,'RESTRIÇÕES'!C:C,D435,'RESTRIÇÕES'!F:F,"Sim")&gt;0,"Com restrição","Sem restrição"))</f>
        <v/>
      </c>
      <c r="M435" s="11" t="str">
        <f t="shared" si="2"/>
        <v/>
      </c>
    </row>
    <row r="436" ht="15.75" customHeight="1">
      <c r="A436" s="13" t="str">
        <f t="shared" si="3"/>
        <v/>
      </c>
      <c r="B436" s="27"/>
      <c r="C436" s="13" t="str">
        <f t="shared" si="4"/>
        <v/>
      </c>
      <c r="D436" s="12"/>
      <c r="E436" s="21"/>
      <c r="F436" s="21"/>
      <c r="G436" s="12"/>
      <c r="H436" s="13" t="str">
        <f>IF(G436="","",IFERROR(VLOOKUP(G436,PROFESSORES!A:B,2,FALSE),""))</f>
        <v/>
      </c>
      <c r="I436" s="12"/>
      <c r="J436" s="12"/>
      <c r="K436" s="13" t="str">
        <f>IF(OR(G436="",C436="",E436="",F436="",I436=""),"",IF(AND((COUNTIFS(DISPONIBILIDADE!A:A,G436,DISPONIBILIDADE!C:C,C436,DISPONIBILIDADE!D:D,"&lt;="&amp;E436,DISPONIBILIDADE!E:E,"&gt;="&amp;F436,DISPONIBILIDADE!F:F,I436,DISPONIBILIDADE!G:G,"Sim")+COUNTIFS(DISPONIBILIDADE!A:A,G436,DISPONIBILIDADE!C:C,C436,DISPONIBILIDADE!D:D,"&lt;="&amp;E436,DISPONIBILIDADE!E:E,"&gt;="&amp;F436,DISPONIBILIDADE!F:F,"Ambas",DISPONIBILIDADE!G:G,"Sim"))&gt;0,COUNTIFS($G$3:$G$502,G436,$B$3:$B$502,B436,$E$3:$E$502,"&lt;"&amp;F436,$F$3:$F$502,"&gt;"&amp;E436,$A$3:$A$502,"&lt;&gt;"&amp;A436)=0),"Sim","Não"))</f>
        <v/>
      </c>
      <c r="L436" s="13" t="str">
        <f>IF(OR(G436="",D436=""),"",IF(COUNTIFS('RESTRIÇÕES'!A:A,G436,'RESTRIÇÕES'!C:C,D436,'RESTRIÇÕES'!F:F,"Sim")&gt;0,"Com restrição","Sem restrição"))</f>
        <v/>
      </c>
      <c r="M436" s="13" t="str">
        <f t="shared" si="2"/>
        <v/>
      </c>
    </row>
    <row r="437" ht="15.75" customHeight="1">
      <c r="A437" s="11" t="str">
        <f t="shared" si="3"/>
        <v/>
      </c>
      <c r="B437" s="28"/>
      <c r="C437" s="11" t="str">
        <f t="shared" si="4"/>
        <v/>
      </c>
      <c r="D437" s="10"/>
      <c r="E437" s="19"/>
      <c r="F437" s="19"/>
      <c r="G437" s="10"/>
      <c r="H437" s="11" t="str">
        <f>IF(G437="","",IFERROR(VLOOKUP(G437,PROFESSORES!A:B,2,FALSE),""))</f>
        <v/>
      </c>
      <c r="I437" s="10"/>
      <c r="J437" s="10"/>
      <c r="K437" s="11" t="str">
        <f>IF(OR(G437="",C437="",E437="",F437="",I437=""),"",IF(AND((COUNTIFS(DISPONIBILIDADE!A:A,G437,DISPONIBILIDADE!C:C,C437,DISPONIBILIDADE!D:D,"&lt;="&amp;E437,DISPONIBILIDADE!E:E,"&gt;="&amp;F437,DISPONIBILIDADE!F:F,I437,DISPONIBILIDADE!G:G,"Sim")+COUNTIFS(DISPONIBILIDADE!A:A,G437,DISPONIBILIDADE!C:C,C437,DISPONIBILIDADE!D:D,"&lt;="&amp;E437,DISPONIBILIDADE!E:E,"&gt;="&amp;F437,DISPONIBILIDADE!F:F,"Ambas",DISPONIBILIDADE!G:G,"Sim"))&gt;0,COUNTIFS($G$3:$G$502,G437,$B$3:$B$502,B437,$E$3:$E$502,"&lt;"&amp;F437,$F$3:$F$502,"&gt;"&amp;E437,$A$3:$A$502,"&lt;&gt;"&amp;A437)=0),"Sim","Não"))</f>
        <v/>
      </c>
      <c r="L437" s="11" t="str">
        <f>IF(OR(G437="",D437=""),"",IF(COUNTIFS('RESTRIÇÕES'!A:A,G437,'RESTRIÇÕES'!C:C,D437,'RESTRIÇÕES'!F:F,"Sim")&gt;0,"Com restrição","Sem restrição"))</f>
        <v/>
      </c>
      <c r="M437" s="11" t="str">
        <f t="shared" si="2"/>
        <v/>
      </c>
    </row>
    <row r="438" ht="15.75" customHeight="1">
      <c r="A438" s="13" t="str">
        <f t="shared" si="3"/>
        <v/>
      </c>
      <c r="B438" s="27"/>
      <c r="C438" s="13" t="str">
        <f t="shared" si="4"/>
        <v/>
      </c>
      <c r="D438" s="12"/>
      <c r="E438" s="21"/>
      <c r="F438" s="21"/>
      <c r="G438" s="12"/>
      <c r="H438" s="13" t="str">
        <f>IF(G438="","",IFERROR(VLOOKUP(G438,PROFESSORES!A:B,2,FALSE),""))</f>
        <v/>
      </c>
      <c r="I438" s="12"/>
      <c r="J438" s="12"/>
      <c r="K438" s="13" t="str">
        <f>IF(OR(G438="",C438="",E438="",F438="",I438=""),"",IF(AND((COUNTIFS(DISPONIBILIDADE!A:A,G438,DISPONIBILIDADE!C:C,C438,DISPONIBILIDADE!D:D,"&lt;="&amp;E438,DISPONIBILIDADE!E:E,"&gt;="&amp;F438,DISPONIBILIDADE!F:F,I438,DISPONIBILIDADE!G:G,"Sim")+COUNTIFS(DISPONIBILIDADE!A:A,G438,DISPONIBILIDADE!C:C,C438,DISPONIBILIDADE!D:D,"&lt;="&amp;E438,DISPONIBILIDADE!E:E,"&gt;="&amp;F438,DISPONIBILIDADE!F:F,"Ambas",DISPONIBILIDADE!G:G,"Sim"))&gt;0,COUNTIFS($G$3:$G$502,G438,$B$3:$B$502,B438,$E$3:$E$502,"&lt;"&amp;F438,$F$3:$F$502,"&gt;"&amp;E438,$A$3:$A$502,"&lt;&gt;"&amp;A438)=0),"Sim","Não"))</f>
        <v/>
      </c>
      <c r="L438" s="13" t="str">
        <f>IF(OR(G438="",D438=""),"",IF(COUNTIFS('RESTRIÇÕES'!A:A,G438,'RESTRIÇÕES'!C:C,D438,'RESTRIÇÕES'!F:F,"Sim")&gt;0,"Com restrição","Sem restrição"))</f>
        <v/>
      </c>
      <c r="M438" s="13" t="str">
        <f t="shared" si="2"/>
        <v/>
      </c>
    </row>
    <row r="439" ht="15.75" customHeight="1">
      <c r="A439" s="11" t="str">
        <f t="shared" si="3"/>
        <v/>
      </c>
      <c r="B439" s="28"/>
      <c r="C439" s="11" t="str">
        <f t="shared" si="4"/>
        <v/>
      </c>
      <c r="D439" s="10"/>
      <c r="E439" s="19"/>
      <c r="F439" s="19"/>
      <c r="G439" s="10"/>
      <c r="H439" s="11" t="str">
        <f>IF(G439="","",IFERROR(VLOOKUP(G439,PROFESSORES!A:B,2,FALSE),""))</f>
        <v/>
      </c>
      <c r="I439" s="10"/>
      <c r="J439" s="10"/>
      <c r="K439" s="11" t="str">
        <f>IF(OR(G439="",C439="",E439="",F439="",I439=""),"",IF(AND((COUNTIFS(DISPONIBILIDADE!A:A,G439,DISPONIBILIDADE!C:C,C439,DISPONIBILIDADE!D:D,"&lt;="&amp;E439,DISPONIBILIDADE!E:E,"&gt;="&amp;F439,DISPONIBILIDADE!F:F,I439,DISPONIBILIDADE!G:G,"Sim")+COUNTIFS(DISPONIBILIDADE!A:A,G439,DISPONIBILIDADE!C:C,C439,DISPONIBILIDADE!D:D,"&lt;="&amp;E439,DISPONIBILIDADE!E:E,"&gt;="&amp;F439,DISPONIBILIDADE!F:F,"Ambas",DISPONIBILIDADE!G:G,"Sim"))&gt;0,COUNTIFS($G$3:$G$502,G439,$B$3:$B$502,B439,$E$3:$E$502,"&lt;"&amp;F439,$F$3:$F$502,"&gt;"&amp;E439,$A$3:$A$502,"&lt;&gt;"&amp;A439)=0),"Sim","Não"))</f>
        <v/>
      </c>
      <c r="L439" s="11" t="str">
        <f>IF(OR(G439="",D439=""),"",IF(COUNTIFS('RESTRIÇÕES'!A:A,G439,'RESTRIÇÕES'!C:C,D439,'RESTRIÇÕES'!F:F,"Sim")&gt;0,"Com restrição","Sem restrição"))</f>
        <v/>
      </c>
      <c r="M439" s="11" t="str">
        <f t="shared" si="2"/>
        <v/>
      </c>
    </row>
    <row r="440" ht="15.75" customHeight="1">
      <c r="A440" s="13" t="str">
        <f t="shared" si="3"/>
        <v/>
      </c>
      <c r="B440" s="27"/>
      <c r="C440" s="13" t="str">
        <f t="shared" si="4"/>
        <v/>
      </c>
      <c r="D440" s="12"/>
      <c r="E440" s="21"/>
      <c r="F440" s="21"/>
      <c r="G440" s="12"/>
      <c r="H440" s="13" t="str">
        <f>IF(G440="","",IFERROR(VLOOKUP(G440,PROFESSORES!A:B,2,FALSE),""))</f>
        <v/>
      </c>
      <c r="I440" s="12"/>
      <c r="J440" s="12"/>
      <c r="K440" s="13" t="str">
        <f>IF(OR(G440="",C440="",E440="",F440="",I440=""),"",IF(AND((COUNTIFS(DISPONIBILIDADE!A:A,G440,DISPONIBILIDADE!C:C,C440,DISPONIBILIDADE!D:D,"&lt;="&amp;E440,DISPONIBILIDADE!E:E,"&gt;="&amp;F440,DISPONIBILIDADE!F:F,I440,DISPONIBILIDADE!G:G,"Sim")+COUNTIFS(DISPONIBILIDADE!A:A,G440,DISPONIBILIDADE!C:C,C440,DISPONIBILIDADE!D:D,"&lt;="&amp;E440,DISPONIBILIDADE!E:E,"&gt;="&amp;F440,DISPONIBILIDADE!F:F,"Ambas",DISPONIBILIDADE!G:G,"Sim"))&gt;0,COUNTIFS($G$3:$G$502,G440,$B$3:$B$502,B440,$E$3:$E$502,"&lt;"&amp;F440,$F$3:$F$502,"&gt;"&amp;E440,$A$3:$A$502,"&lt;&gt;"&amp;A440)=0),"Sim","Não"))</f>
        <v/>
      </c>
      <c r="L440" s="13" t="str">
        <f>IF(OR(G440="",D440=""),"",IF(COUNTIFS('RESTRIÇÕES'!A:A,G440,'RESTRIÇÕES'!C:C,D440,'RESTRIÇÕES'!F:F,"Sim")&gt;0,"Com restrição","Sem restrição"))</f>
        <v/>
      </c>
      <c r="M440" s="13" t="str">
        <f t="shared" si="2"/>
        <v/>
      </c>
    </row>
    <row r="441" ht="15.75" customHeight="1">
      <c r="A441" s="11" t="str">
        <f t="shared" si="3"/>
        <v/>
      </c>
      <c r="B441" s="28"/>
      <c r="C441" s="11" t="str">
        <f t="shared" si="4"/>
        <v/>
      </c>
      <c r="D441" s="10"/>
      <c r="E441" s="19"/>
      <c r="F441" s="19"/>
      <c r="G441" s="10"/>
      <c r="H441" s="11" t="str">
        <f>IF(G441="","",IFERROR(VLOOKUP(G441,PROFESSORES!A:B,2,FALSE),""))</f>
        <v/>
      </c>
      <c r="I441" s="10"/>
      <c r="J441" s="10"/>
      <c r="K441" s="11" t="str">
        <f>IF(OR(G441="",C441="",E441="",F441="",I441=""),"",IF(AND((COUNTIFS(DISPONIBILIDADE!A:A,G441,DISPONIBILIDADE!C:C,C441,DISPONIBILIDADE!D:D,"&lt;="&amp;E441,DISPONIBILIDADE!E:E,"&gt;="&amp;F441,DISPONIBILIDADE!F:F,I441,DISPONIBILIDADE!G:G,"Sim")+COUNTIFS(DISPONIBILIDADE!A:A,G441,DISPONIBILIDADE!C:C,C441,DISPONIBILIDADE!D:D,"&lt;="&amp;E441,DISPONIBILIDADE!E:E,"&gt;="&amp;F441,DISPONIBILIDADE!F:F,"Ambas",DISPONIBILIDADE!G:G,"Sim"))&gt;0,COUNTIFS($G$3:$G$502,G441,$B$3:$B$502,B441,$E$3:$E$502,"&lt;"&amp;F441,$F$3:$F$502,"&gt;"&amp;E441,$A$3:$A$502,"&lt;&gt;"&amp;A441)=0),"Sim","Não"))</f>
        <v/>
      </c>
      <c r="L441" s="11" t="str">
        <f>IF(OR(G441="",D441=""),"",IF(COUNTIFS('RESTRIÇÕES'!A:A,G441,'RESTRIÇÕES'!C:C,D441,'RESTRIÇÕES'!F:F,"Sim")&gt;0,"Com restrição","Sem restrição"))</f>
        <v/>
      </c>
      <c r="M441" s="11" t="str">
        <f t="shared" si="2"/>
        <v/>
      </c>
    </row>
    <row r="442" ht="15.75" customHeight="1">
      <c r="A442" s="13" t="str">
        <f t="shared" si="3"/>
        <v/>
      </c>
      <c r="B442" s="27"/>
      <c r="C442" s="13" t="str">
        <f t="shared" si="4"/>
        <v/>
      </c>
      <c r="D442" s="12"/>
      <c r="E442" s="21"/>
      <c r="F442" s="21"/>
      <c r="G442" s="12"/>
      <c r="H442" s="13" t="str">
        <f>IF(G442="","",IFERROR(VLOOKUP(G442,PROFESSORES!A:B,2,FALSE),""))</f>
        <v/>
      </c>
      <c r="I442" s="12"/>
      <c r="J442" s="12"/>
      <c r="K442" s="13" t="str">
        <f>IF(OR(G442="",C442="",E442="",F442="",I442=""),"",IF(AND((COUNTIFS(DISPONIBILIDADE!A:A,G442,DISPONIBILIDADE!C:C,C442,DISPONIBILIDADE!D:D,"&lt;="&amp;E442,DISPONIBILIDADE!E:E,"&gt;="&amp;F442,DISPONIBILIDADE!F:F,I442,DISPONIBILIDADE!G:G,"Sim")+COUNTIFS(DISPONIBILIDADE!A:A,G442,DISPONIBILIDADE!C:C,C442,DISPONIBILIDADE!D:D,"&lt;="&amp;E442,DISPONIBILIDADE!E:E,"&gt;="&amp;F442,DISPONIBILIDADE!F:F,"Ambas",DISPONIBILIDADE!G:G,"Sim"))&gt;0,COUNTIFS($G$3:$G$502,G442,$B$3:$B$502,B442,$E$3:$E$502,"&lt;"&amp;F442,$F$3:$F$502,"&gt;"&amp;E442,$A$3:$A$502,"&lt;&gt;"&amp;A442)=0),"Sim","Não"))</f>
        <v/>
      </c>
      <c r="L442" s="13" t="str">
        <f>IF(OR(G442="",D442=""),"",IF(COUNTIFS('RESTRIÇÕES'!A:A,G442,'RESTRIÇÕES'!C:C,D442,'RESTRIÇÕES'!F:F,"Sim")&gt;0,"Com restrição","Sem restrição"))</f>
        <v/>
      </c>
      <c r="M442" s="13" t="str">
        <f t="shared" si="2"/>
        <v/>
      </c>
    </row>
    <row r="443" ht="15.75" customHeight="1">
      <c r="A443" s="11" t="str">
        <f t="shared" si="3"/>
        <v/>
      </c>
      <c r="B443" s="28"/>
      <c r="C443" s="11" t="str">
        <f t="shared" si="4"/>
        <v/>
      </c>
      <c r="D443" s="10"/>
      <c r="E443" s="19"/>
      <c r="F443" s="19"/>
      <c r="G443" s="10"/>
      <c r="H443" s="11" t="str">
        <f>IF(G443="","",IFERROR(VLOOKUP(G443,PROFESSORES!A:B,2,FALSE),""))</f>
        <v/>
      </c>
      <c r="I443" s="10"/>
      <c r="J443" s="10"/>
      <c r="K443" s="11" t="str">
        <f>IF(OR(G443="",C443="",E443="",F443="",I443=""),"",IF(AND((COUNTIFS(DISPONIBILIDADE!A:A,G443,DISPONIBILIDADE!C:C,C443,DISPONIBILIDADE!D:D,"&lt;="&amp;E443,DISPONIBILIDADE!E:E,"&gt;="&amp;F443,DISPONIBILIDADE!F:F,I443,DISPONIBILIDADE!G:G,"Sim")+COUNTIFS(DISPONIBILIDADE!A:A,G443,DISPONIBILIDADE!C:C,C443,DISPONIBILIDADE!D:D,"&lt;="&amp;E443,DISPONIBILIDADE!E:E,"&gt;="&amp;F443,DISPONIBILIDADE!F:F,"Ambas",DISPONIBILIDADE!G:G,"Sim"))&gt;0,COUNTIFS($G$3:$G$502,G443,$B$3:$B$502,B443,$E$3:$E$502,"&lt;"&amp;F443,$F$3:$F$502,"&gt;"&amp;E443,$A$3:$A$502,"&lt;&gt;"&amp;A443)=0),"Sim","Não"))</f>
        <v/>
      </c>
      <c r="L443" s="11" t="str">
        <f>IF(OR(G443="",D443=""),"",IF(COUNTIFS('RESTRIÇÕES'!A:A,G443,'RESTRIÇÕES'!C:C,D443,'RESTRIÇÕES'!F:F,"Sim")&gt;0,"Com restrição","Sem restrição"))</f>
        <v/>
      </c>
      <c r="M443" s="11" t="str">
        <f t="shared" si="2"/>
        <v/>
      </c>
    </row>
    <row r="444" ht="15.75" customHeight="1">
      <c r="A444" s="13" t="str">
        <f t="shared" si="3"/>
        <v/>
      </c>
      <c r="B444" s="27"/>
      <c r="C444" s="13" t="str">
        <f t="shared" si="4"/>
        <v/>
      </c>
      <c r="D444" s="12"/>
      <c r="E444" s="21"/>
      <c r="F444" s="21"/>
      <c r="G444" s="12"/>
      <c r="H444" s="13" t="str">
        <f>IF(G444="","",IFERROR(VLOOKUP(G444,PROFESSORES!A:B,2,FALSE),""))</f>
        <v/>
      </c>
      <c r="I444" s="12"/>
      <c r="J444" s="12"/>
      <c r="K444" s="13" t="str">
        <f>IF(OR(G444="",C444="",E444="",F444="",I444=""),"",IF(AND((COUNTIFS(DISPONIBILIDADE!A:A,G444,DISPONIBILIDADE!C:C,C444,DISPONIBILIDADE!D:D,"&lt;="&amp;E444,DISPONIBILIDADE!E:E,"&gt;="&amp;F444,DISPONIBILIDADE!F:F,I444,DISPONIBILIDADE!G:G,"Sim")+COUNTIFS(DISPONIBILIDADE!A:A,G444,DISPONIBILIDADE!C:C,C444,DISPONIBILIDADE!D:D,"&lt;="&amp;E444,DISPONIBILIDADE!E:E,"&gt;="&amp;F444,DISPONIBILIDADE!F:F,"Ambas",DISPONIBILIDADE!G:G,"Sim"))&gt;0,COUNTIFS($G$3:$G$502,G444,$B$3:$B$502,B444,$E$3:$E$502,"&lt;"&amp;F444,$F$3:$F$502,"&gt;"&amp;E444,$A$3:$A$502,"&lt;&gt;"&amp;A444)=0),"Sim","Não"))</f>
        <v/>
      </c>
      <c r="L444" s="13" t="str">
        <f>IF(OR(G444="",D444=""),"",IF(COUNTIFS('RESTRIÇÕES'!A:A,G444,'RESTRIÇÕES'!C:C,D444,'RESTRIÇÕES'!F:F,"Sim")&gt;0,"Com restrição","Sem restrição"))</f>
        <v/>
      </c>
      <c r="M444" s="13" t="str">
        <f t="shared" si="2"/>
        <v/>
      </c>
    </row>
    <row r="445" ht="15.75" customHeight="1">
      <c r="A445" s="11" t="str">
        <f t="shared" si="3"/>
        <v/>
      </c>
      <c r="B445" s="28"/>
      <c r="C445" s="11" t="str">
        <f t="shared" si="4"/>
        <v/>
      </c>
      <c r="D445" s="10"/>
      <c r="E445" s="19"/>
      <c r="F445" s="19"/>
      <c r="G445" s="10"/>
      <c r="H445" s="11" t="str">
        <f>IF(G445="","",IFERROR(VLOOKUP(G445,PROFESSORES!A:B,2,FALSE),""))</f>
        <v/>
      </c>
      <c r="I445" s="10"/>
      <c r="J445" s="10"/>
      <c r="K445" s="11" t="str">
        <f>IF(OR(G445="",C445="",E445="",F445="",I445=""),"",IF(AND((COUNTIFS(DISPONIBILIDADE!A:A,G445,DISPONIBILIDADE!C:C,C445,DISPONIBILIDADE!D:D,"&lt;="&amp;E445,DISPONIBILIDADE!E:E,"&gt;="&amp;F445,DISPONIBILIDADE!F:F,I445,DISPONIBILIDADE!G:G,"Sim")+COUNTIFS(DISPONIBILIDADE!A:A,G445,DISPONIBILIDADE!C:C,C445,DISPONIBILIDADE!D:D,"&lt;="&amp;E445,DISPONIBILIDADE!E:E,"&gt;="&amp;F445,DISPONIBILIDADE!F:F,"Ambas",DISPONIBILIDADE!G:G,"Sim"))&gt;0,COUNTIFS($G$3:$G$502,G445,$B$3:$B$502,B445,$E$3:$E$502,"&lt;"&amp;F445,$F$3:$F$502,"&gt;"&amp;E445,$A$3:$A$502,"&lt;&gt;"&amp;A445)=0),"Sim","Não"))</f>
        <v/>
      </c>
      <c r="L445" s="11" t="str">
        <f>IF(OR(G445="",D445=""),"",IF(COUNTIFS('RESTRIÇÕES'!A:A,G445,'RESTRIÇÕES'!C:C,D445,'RESTRIÇÕES'!F:F,"Sim")&gt;0,"Com restrição","Sem restrição"))</f>
        <v/>
      </c>
      <c r="M445" s="11" t="str">
        <f t="shared" si="2"/>
        <v/>
      </c>
    </row>
    <row r="446" ht="15.75" customHeight="1">
      <c r="A446" s="13" t="str">
        <f t="shared" si="3"/>
        <v/>
      </c>
      <c r="B446" s="27"/>
      <c r="C446" s="13" t="str">
        <f t="shared" si="4"/>
        <v/>
      </c>
      <c r="D446" s="12"/>
      <c r="E446" s="21"/>
      <c r="F446" s="21"/>
      <c r="G446" s="12"/>
      <c r="H446" s="13" t="str">
        <f>IF(G446="","",IFERROR(VLOOKUP(G446,PROFESSORES!A:B,2,FALSE),""))</f>
        <v/>
      </c>
      <c r="I446" s="12"/>
      <c r="J446" s="12"/>
      <c r="K446" s="13" t="str">
        <f>IF(OR(G446="",C446="",E446="",F446="",I446=""),"",IF(AND((COUNTIFS(DISPONIBILIDADE!A:A,G446,DISPONIBILIDADE!C:C,C446,DISPONIBILIDADE!D:D,"&lt;="&amp;E446,DISPONIBILIDADE!E:E,"&gt;="&amp;F446,DISPONIBILIDADE!F:F,I446,DISPONIBILIDADE!G:G,"Sim")+COUNTIFS(DISPONIBILIDADE!A:A,G446,DISPONIBILIDADE!C:C,C446,DISPONIBILIDADE!D:D,"&lt;="&amp;E446,DISPONIBILIDADE!E:E,"&gt;="&amp;F446,DISPONIBILIDADE!F:F,"Ambas",DISPONIBILIDADE!G:G,"Sim"))&gt;0,COUNTIFS($G$3:$G$502,G446,$B$3:$B$502,B446,$E$3:$E$502,"&lt;"&amp;F446,$F$3:$F$502,"&gt;"&amp;E446,$A$3:$A$502,"&lt;&gt;"&amp;A446)=0),"Sim","Não"))</f>
        <v/>
      </c>
      <c r="L446" s="13" t="str">
        <f>IF(OR(G446="",D446=""),"",IF(COUNTIFS('RESTRIÇÕES'!A:A,G446,'RESTRIÇÕES'!C:C,D446,'RESTRIÇÕES'!F:F,"Sim")&gt;0,"Com restrição","Sem restrição"))</f>
        <v/>
      </c>
      <c r="M446" s="13" t="str">
        <f t="shared" si="2"/>
        <v/>
      </c>
    </row>
    <row r="447" ht="15.75" customHeight="1">
      <c r="A447" s="11" t="str">
        <f t="shared" si="3"/>
        <v/>
      </c>
      <c r="B447" s="28"/>
      <c r="C447" s="11" t="str">
        <f t="shared" si="4"/>
        <v/>
      </c>
      <c r="D447" s="10"/>
      <c r="E447" s="19"/>
      <c r="F447" s="19"/>
      <c r="G447" s="10"/>
      <c r="H447" s="11" t="str">
        <f>IF(G447="","",IFERROR(VLOOKUP(G447,PROFESSORES!A:B,2,FALSE),""))</f>
        <v/>
      </c>
      <c r="I447" s="10"/>
      <c r="J447" s="10"/>
      <c r="K447" s="11" t="str">
        <f>IF(OR(G447="",C447="",E447="",F447="",I447=""),"",IF(AND((COUNTIFS(DISPONIBILIDADE!A:A,G447,DISPONIBILIDADE!C:C,C447,DISPONIBILIDADE!D:D,"&lt;="&amp;E447,DISPONIBILIDADE!E:E,"&gt;="&amp;F447,DISPONIBILIDADE!F:F,I447,DISPONIBILIDADE!G:G,"Sim")+COUNTIFS(DISPONIBILIDADE!A:A,G447,DISPONIBILIDADE!C:C,C447,DISPONIBILIDADE!D:D,"&lt;="&amp;E447,DISPONIBILIDADE!E:E,"&gt;="&amp;F447,DISPONIBILIDADE!F:F,"Ambas",DISPONIBILIDADE!G:G,"Sim"))&gt;0,COUNTIFS($G$3:$G$502,G447,$B$3:$B$502,B447,$E$3:$E$502,"&lt;"&amp;F447,$F$3:$F$502,"&gt;"&amp;E447,$A$3:$A$502,"&lt;&gt;"&amp;A447)=0),"Sim","Não"))</f>
        <v/>
      </c>
      <c r="L447" s="11" t="str">
        <f>IF(OR(G447="",D447=""),"",IF(COUNTIFS('RESTRIÇÕES'!A:A,G447,'RESTRIÇÕES'!C:C,D447,'RESTRIÇÕES'!F:F,"Sim")&gt;0,"Com restrição","Sem restrição"))</f>
        <v/>
      </c>
      <c r="M447" s="11" t="str">
        <f t="shared" si="2"/>
        <v/>
      </c>
    </row>
    <row r="448" ht="15.75" customHeight="1">
      <c r="A448" s="13" t="str">
        <f t="shared" si="3"/>
        <v/>
      </c>
      <c r="B448" s="27"/>
      <c r="C448" s="13" t="str">
        <f t="shared" si="4"/>
        <v/>
      </c>
      <c r="D448" s="12"/>
      <c r="E448" s="21"/>
      <c r="F448" s="21"/>
      <c r="G448" s="12"/>
      <c r="H448" s="13" t="str">
        <f>IF(G448="","",IFERROR(VLOOKUP(G448,PROFESSORES!A:B,2,FALSE),""))</f>
        <v/>
      </c>
      <c r="I448" s="12"/>
      <c r="J448" s="12"/>
      <c r="K448" s="13" t="str">
        <f>IF(OR(G448="",C448="",E448="",F448="",I448=""),"",IF(AND((COUNTIFS(DISPONIBILIDADE!A:A,G448,DISPONIBILIDADE!C:C,C448,DISPONIBILIDADE!D:D,"&lt;="&amp;E448,DISPONIBILIDADE!E:E,"&gt;="&amp;F448,DISPONIBILIDADE!F:F,I448,DISPONIBILIDADE!G:G,"Sim")+COUNTIFS(DISPONIBILIDADE!A:A,G448,DISPONIBILIDADE!C:C,C448,DISPONIBILIDADE!D:D,"&lt;="&amp;E448,DISPONIBILIDADE!E:E,"&gt;="&amp;F448,DISPONIBILIDADE!F:F,"Ambas",DISPONIBILIDADE!G:G,"Sim"))&gt;0,COUNTIFS($G$3:$G$502,G448,$B$3:$B$502,B448,$E$3:$E$502,"&lt;"&amp;F448,$F$3:$F$502,"&gt;"&amp;E448,$A$3:$A$502,"&lt;&gt;"&amp;A448)=0),"Sim","Não"))</f>
        <v/>
      </c>
      <c r="L448" s="13" t="str">
        <f>IF(OR(G448="",D448=""),"",IF(COUNTIFS('RESTRIÇÕES'!A:A,G448,'RESTRIÇÕES'!C:C,D448,'RESTRIÇÕES'!F:F,"Sim")&gt;0,"Com restrição","Sem restrição"))</f>
        <v/>
      </c>
      <c r="M448" s="13" t="str">
        <f t="shared" si="2"/>
        <v/>
      </c>
    </row>
    <row r="449" ht="15.75" customHeight="1">
      <c r="A449" s="11" t="str">
        <f t="shared" si="3"/>
        <v/>
      </c>
      <c r="B449" s="28"/>
      <c r="C449" s="11" t="str">
        <f t="shared" si="4"/>
        <v/>
      </c>
      <c r="D449" s="10"/>
      <c r="E449" s="19"/>
      <c r="F449" s="19"/>
      <c r="G449" s="10"/>
      <c r="H449" s="11" t="str">
        <f>IF(G449="","",IFERROR(VLOOKUP(G449,PROFESSORES!A:B,2,FALSE),""))</f>
        <v/>
      </c>
      <c r="I449" s="10"/>
      <c r="J449" s="10"/>
      <c r="K449" s="11" t="str">
        <f>IF(OR(G449="",C449="",E449="",F449="",I449=""),"",IF(AND((COUNTIFS(DISPONIBILIDADE!A:A,G449,DISPONIBILIDADE!C:C,C449,DISPONIBILIDADE!D:D,"&lt;="&amp;E449,DISPONIBILIDADE!E:E,"&gt;="&amp;F449,DISPONIBILIDADE!F:F,I449,DISPONIBILIDADE!G:G,"Sim")+COUNTIFS(DISPONIBILIDADE!A:A,G449,DISPONIBILIDADE!C:C,C449,DISPONIBILIDADE!D:D,"&lt;="&amp;E449,DISPONIBILIDADE!E:E,"&gt;="&amp;F449,DISPONIBILIDADE!F:F,"Ambas",DISPONIBILIDADE!G:G,"Sim"))&gt;0,COUNTIFS($G$3:$G$502,G449,$B$3:$B$502,B449,$E$3:$E$502,"&lt;"&amp;F449,$F$3:$F$502,"&gt;"&amp;E449,$A$3:$A$502,"&lt;&gt;"&amp;A449)=0),"Sim","Não"))</f>
        <v/>
      </c>
      <c r="L449" s="11" t="str">
        <f>IF(OR(G449="",D449=""),"",IF(COUNTIFS('RESTRIÇÕES'!A:A,G449,'RESTRIÇÕES'!C:C,D449,'RESTRIÇÕES'!F:F,"Sim")&gt;0,"Com restrição","Sem restrição"))</f>
        <v/>
      </c>
      <c r="M449" s="11" t="str">
        <f t="shared" si="2"/>
        <v/>
      </c>
    </row>
    <row r="450" ht="15.75" customHeight="1">
      <c r="A450" s="13" t="str">
        <f t="shared" si="3"/>
        <v/>
      </c>
      <c r="B450" s="27"/>
      <c r="C450" s="13" t="str">
        <f t="shared" si="4"/>
        <v/>
      </c>
      <c r="D450" s="12"/>
      <c r="E450" s="21"/>
      <c r="F450" s="21"/>
      <c r="G450" s="12"/>
      <c r="H450" s="13" t="str">
        <f>IF(G450="","",IFERROR(VLOOKUP(G450,PROFESSORES!A:B,2,FALSE),""))</f>
        <v/>
      </c>
      <c r="I450" s="12"/>
      <c r="J450" s="12"/>
      <c r="K450" s="13" t="str">
        <f>IF(OR(G450="",C450="",E450="",F450="",I450=""),"",IF(AND((COUNTIFS(DISPONIBILIDADE!A:A,G450,DISPONIBILIDADE!C:C,C450,DISPONIBILIDADE!D:D,"&lt;="&amp;E450,DISPONIBILIDADE!E:E,"&gt;="&amp;F450,DISPONIBILIDADE!F:F,I450,DISPONIBILIDADE!G:G,"Sim")+COUNTIFS(DISPONIBILIDADE!A:A,G450,DISPONIBILIDADE!C:C,C450,DISPONIBILIDADE!D:D,"&lt;="&amp;E450,DISPONIBILIDADE!E:E,"&gt;="&amp;F450,DISPONIBILIDADE!F:F,"Ambas",DISPONIBILIDADE!G:G,"Sim"))&gt;0,COUNTIFS($G$3:$G$502,G450,$B$3:$B$502,B450,$E$3:$E$502,"&lt;"&amp;F450,$F$3:$F$502,"&gt;"&amp;E450,$A$3:$A$502,"&lt;&gt;"&amp;A450)=0),"Sim","Não"))</f>
        <v/>
      </c>
      <c r="L450" s="13" t="str">
        <f>IF(OR(G450="",D450=""),"",IF(COUNTIFS('RESTRIÇÕES'!A:A,G450,'RESTRIÇÕES'!C:C,D450,'RESTRIÇÕES'!F:F,"Sim")&gt;0,"Com restrição","Sem restrição"))</f>
        <v/>
      </c>
      <c r="M450" s="13" t="str">
        <f t="shared" si="2"/>
        <v/>
      </c>
    </row>
    <row r="451" ht="15.75" customHeight="1">
      <c r="A451" s="11" t="str">
        <f t="shared" si="3"/>
        <v/>
      </c>
      <c r="B451" s="28"/>
      <c r="C451" s="11" t="str">
        <f t="shared" si="4"/>
        <v/>
      </c>
      <c r="D451" s="10"/>
      <c r="E451" s="19"/>
      <c r="F451" s="19"/>
      <c r="G451" s="10"/>
      <c r="H451" s="11" t="str">
        <f>IF(G451="","",IFERROR(VLOOKUP(G451,PROFESSORES!A:B,2,FALSE),""))</f>
        <v/>
      </c>
      <c r="I451" s="10"/>
      <c r="J451" s="10"/>
      <c r="K451" s="11" t="str">
        <f>IF(OR(G451="",C451="",E451="",F451="",I451=""),"",IF(AND((COUNTIFS(DISPONIBILIDADE!A:A,G451,DISPONIBILIDADE!C:C,C451,DISPONIBILIDADE!D:D,"&lt;="&amp;E451,DISPONIBILIDADE!E:E,"&gt;="&amp;F451,DISPONIBILIDADE!F:F,I451,DISPONIBILIDADE!G:G,"Sim")+COUNTIFS(DISPONIBILIDADE!A:A,G451,DISPONIBILIDADE!C:C,C451,DISPONIBILIDADE!D:D,"&lt;="&amp;E451,DISPONIBILIDADE!E:E,"&gt;="&amp;F451,DISPONIBILIDADE!F:F,"Ambas",DISPONIBILIDADE!G:G,"Sim"))&gt;0,COUNTIFS($G$3:$G$502,G451,$B$3:$B$502,B451,$E$3:$E$502,"&lt;"&amp;F451,$F$3:$F$502,"&gt;"&amp;E451,$A$3:$A$502,"&lt;&gt;"&amp;A451)=0),"Sim","Não"))</f>
        <v/>
      </c>
      <c r="L451" s="11" t="str">
        <f>IF(OR(G451="",D451=""),"",IF(COUNTIFS('RESTRIÇÕES'!A:A,G451,'RESTRIÇÕES'!C:C,D451,'RESTRIÇÕES'!F:F,"Sim")&gt;0,"Com restrição","Sem restrição"))</f>
        <v/>
      </c>
      <c r="M451" s="11" t="str">
        <f t="shared" si="2"/>
        <v/>
      </c>
    </row>
    <row r="452" ht="15.75" customHeight="1">
      <c r="A452" s="13" t="str">
        <f t="shared" si="3"/>
        <v/>
      </c>
      <c r="B452" s="27"/>
      <c r="C452" s="13" t="str">
        <f t="shared" si="4"/>
        <v/>
      </c>
      <c r="D452" s="12"/>
      <c r="E452" s="21"/>
      <c r="F452" s="21"/>
      <c r="G452" s="12"/>
      <c r="H452" s="13" t="str">
        <f>IF(G452="","",IFERROR(VLOOKUP(G452,PROFESSORES!A:B,2,FALSE),""))</f>
        <v/>
      </c>
      <c r="I452" s="12"/>
      <c r="J452" s="12"/>
      <c r="K452" s="13" t="str">
        <f>IF(OR(G452="",C452="",E452="",F452="",I452=""),"",IF(AND((COUNTIFS(DISPONIBILIDADE!A:A,G452,DISPONIBILIDADE!C:C,C452,DISPONIBILIDADE!D:D,"&lt;="&amp;E452,DISPONIBILIDADE!E:E,"&gt;="&amp;F452,DISPONIBILIDADE!F:F,I452,DISPONIBILIDADE!G:G,"Sim")+COUNTIFS(DISPONIBILIDADE!A:A,G452,DISPONIBILIDADE!C:C,C452,DISPONIBILIDADE!D:D,"&lt;="&amp;E452,DISPONIBILIDADE!E:E,"&gt;="&amp;F452,DISPONIBILIDADE!F:F,"Ambas",DISPONIBILIDADE!G:G,"Sim"))&gt;0,COUNTIFS($G$3:$G$502,G452,$B$3:$B$502,B452,$E$3:$E$502,"&lt;"&amp;F452,$F$3:$F$502,"&gt;"&amp;E452,$A$3:$A$502,"&lt;&gt;"&amp;A452)=0),"Sim","Não"))</f>
        <v/>
      </c>
      <c r="L452" s="13" t="str">
        <f>IF(OR(G452="",D452=""),"",IF(COUNTIFS('RESTRIÇÕES'!A:A,G452,'RESTRIÇÕES'!C:C,D452,'RESTRIÇÕES'!F:F,"Sim")&gt;0,"Com restrição","Sem restrição"))</f>
        <v/>
      </c>
      <c r="M452" s="13" t="str">
        <f t="shared" si="2"/>
        <v/>
      </c>
    </row>
    <row r="453" ht="15.75" customHeight="1">
      <c r="A453" s="11" t="str">
        <f t="shared" si="3"/>
        <v/>
      </c>
      <c r="B453" s="28"/>
      <c r="C453" s="11" t="str">
        <f t="shared" si="4"/>
        <v/>
      </c>
      <c r="D453" s="10"/>
      <c r="E453" s="19"/>
      <c r="F453" s="19"/>
      <c r="G453" s="10"/>
      <c r="H453" s="11" t="str">
        <f>IF(G453="","",IFERROR(VLOOKUP(G453,PROFESSORES!A:B,2,FALSE),""))</f>
        <v/>
      </c>
      <c r="I453" s="10"/>
      <c r="J453" s="10"/>
      <c r="K453" s="11" t="str">
        <f>IF(OR(G453="",C453="",E453="",F453="",I453=""),"",IF(AND((COUNTIFS(DISPONIBILIDADE!A:A,G453,DISPONIBILIDADE!C:C,C453,DISPONIBILIDADE!D:D,"&lt;="&amp;E453,DISPONIBILIDADE!E:E,"&gt;="&amp;F453,DISPONIBILIDADE!F:F,I453,DISPONIBILIDADE!G:G,"Sim")+COUNTIFS(DISPONIBILIDADE!A:A,G453,DISPONIBILIDADE!C:C,C453,DISPONIBILIDADE!D:D,"&lt;="&amp;E453,DISPONIBILIDADE!E:E,"&gt;="&amp;F453,DISPONIBILIDADE!F:F,"Ambas",DISPONIBILIDADE!G:G,"Sim"))&gt;0,COUNTIFS($G$3:$G$502,G453,$B$3:$B$502,B453,$E$3:$E$502,"&lt;"&amp;F453,$F$3:$F$502,"&gt;"&amp;E453,$A$3:$A$502,"&lt;&gt;"&amp;A453)=0),"Sim","Não"))</f>
        <v/>
      </c>
      <c r="L453" s="11" t="str">
        <f>IF(OR(G453="",D453=""),"",IF(COUNTIFS('RESTRIÇÕES'!A:A,G453,'RESTRIÇÕES'!C:C,D453,'RESTRIÇÕES'!F:F,"Sim")&gt;0,"Com restrição","Sem restrição"))</f>
        <v/>
      </c>
      <c r="M453" s="11" t="str">
        <f t="shared" si="2"/>
        <v/>
      </c>
    </row>
    <row r="454" ht="15.75" customHeight="1">
      <c r="A454" s="13" t="str">
        <f t="shared" si="3"/>
        <v/>
      </c>
      <c r="B454" s="27"/>
      <c r="C454" s="13" t="str">
        <f t="shared" si="4"/>
        <v/>
      </c>
      <c r="D454" s="12"/>
      <c r="E454" s="21"/>
      <c r="F454" s="21"/>
      <c r="G454" s="12"/>
      <c r="H454" s="13" t="str">
        <f>IF(G454="","",IFERROR(VLOOKUP(G454,PROFESSORES!A:B,2,FALSE),""))</f>
        <v/>
      </c>
      <c r="I454" s="12"/>
      <c r="J454" s="12"/>
      <c r="K454" s="13" t="str">
        <f>IF(OR(G454="",C454="",E454="",F454="",I454=""),"",IF(AND((COUNTIFS(DISPONIBILIDADE!A:A,G454,DISPONIBILIDADE!C:C,C454,DISPONIBILIDADE!D:D,"&lt;="&amp;E454,DISPONIBILIDADE!E:E,"&gt;="&amp;F454,DISPONIBILIDADE!F:F,I454,DISPONIBILIDADE!G:G,"Sim")+COUNTIFS(DISPONIBILIDADE!A:A,G454,DISPONIBILIDADE!C:C,C454,DISPONIBILIDADE!D:D,"&lt;="&amp;E454,DISPONIBILIDADE!E:E,"&gt;="&amp;F454,DISPONIBILIDADE!F:F,"Ambas",DISPONIBILIDADE!G:G,"Sim"))&gt;0,COUNTIFS($G$3:$G$502,G454,$B$3:$B$502,B454,$E$3:$E$502,"&lt;"&amp;F454,$F$3:$F$502,"&gt;"&amp;E454,$A$3:$A$502,"&lt;&gt;"&amp;A454)=0),"Sim","Não"))</f>
        <v/>
      </c>
      <c r="L454" s="13" t="str">
        <f>IF(OR(G454="",D454=""),"",IF(COUNTIFS('RESTRIÇÕES'!A:A,G454,'RESTRIÇÕES'!C:C,D454,'RESTRIÇÕES'!F:F,"Sim")&gt;0,"Com restrição","Sem restrição"))</f>
        <v/>
      </c>
      <c r="M454" s="13" t="str">
        <f t="shared" si="2"/>
        <v/>
      </c>
    </row>
    <row r="455" ht="15.75" customHeight="1">
      <c r="A455" s="11" t="str">
        <f t="shared" si="3"/>
        <v/>
      </c>
      <c r="B455" s="28"/>
      <c r="C455" s="11" t="str">
        <f t="shared" si="4"/>
        <v/>
      </c>
      <c r="D455" s="10"/>
      <c r="E455" s="19"/>
      <c r="F455" s="19"/>
      <c r="G455" s="10"/>
      <c r="H455" s="11" t="str">
        <f>IF(G455="","",IFERROR(VLOOKUP(G455,PROFESSORES!A:B,2,FALSE),""))</f>
        <v/>
      </c>
      <c r="I455" s="10"/>
      <c r="J455" s="10"/>
      <c r="K455" s="11" t="str">
        <f>IF(OR(G455="",C455="",E455="",F455="",I455=""),"",IF(AND((COUNTIFS(DISPONIBILIDADE!A:A,G455,DISPONIBILIDADE!C:C,C455,DISPONIBILIDADE!D:D,"&lt;="&amp;E455,DISPONIBILIDADE!E:E,"&gt;="&amp;F455,DISPONIBILIDADE!F:F,I455,DISPONIBILIDADE!G:G,"Sim")+COUNTIFS(DISPONIBILIDADE!A:A,G455,DISPONIBILIDADE!C:C,C455,DISPONIBILIDADE!D:D,"&lt;="&amp;E455,DISPONIBILIDADE!E:E,"&gt;="&amp;F455,DISPONIBILIDADE!F:F,"Ambas",DISPONIBILIDADE!G:G,"Sim"))&gt;0,COUNTIFS($G$3:$G$502,G455,$B$3:$B$502,B455,$E$3:$E$502,"&lt;"&amp;F455,$F$3:$F$502,"&gt;"&amp;E455,$A$3:$A$502,"&lt;&gt;"&amp;A455)=0),"Sim","Não"))</f>
        <v/>
      </c>
      <c r="L455" s="11" t="str">
        <f>IF(OR(G455="",D455=""),"",IF(COUNTIFS('RESTRIÇÕES'!A:A,G455,'RESTRIÇÕES'!C:C,D455,'RESTRIÇÕES'!F:F,"Sim")&gt;0,"Com restrição","Sem restrição"))</f>
        <v/>
      </c>
      <c r="M455" s="11" t="str">
        <f t="shared" si="2"/>
        <v/>
      </c>
    </row>
    <row r="456" ht="15.75" customHeight="1">
      <c r="A456" s="13" t="str">
        <f t="shared" si="3"/>
        <v/>
      </c>
      <c r="B456" s="27"/>
      <c r="C456" s="13" t="str">
        <f t="shared" si="4"/>
        <v/>
      </c>
      <c r="D456" s="12"/>
      <c r="E456" s="21"/>
      <c r="F456" s="21"/>
      <c r="G456" s="12"/>
      <c r="H456" s="13" t="str">
        <f>IF(G456="","",IFERROR(VLOOKUP(G456,PROFESSORES!A:B,2,FALSE),""))</f>
        <v/>
      </c>
      <c r="I456" s="12"/>
      <c r="J456" s="12"/>
      <c r="K456" s="13" t="str">
        <f>IF(OR(G456="",C456="",E456="",F456="",I456=""),"",IF(AND((COUNTIFS(DISPONIBILIDADE!A:A,G456,DISPONIBILIDADE!C:C,C456,DISPONIBILIDADE!D:D,"&lt;="&amp;E456,DISPONIBILIDADE!E:E,"&gt;="&amp;F456,DISPONIBILIDADE!F:F,I456,DISPONIBILIDADE!G:G,"Sim")+COUNTIFS(DISPONIBILIDADE!A:A,G456,DISPONIBILIDADE!C:C,C456,DISPONIBILIDADE!D:D,"&lt;="&amp;E456,DISPONIBILIDADE!E:E,"&gt;="&amp;F456,DISPONIBILIDADE!F:F,"Ambas",DISPONIBILIDADE!G:G,"Sim"))&gt;0,COUNTIFS($G$3:$G$502,G456,$B$3:$B$502,B456,$E$3:$E$502,"&lt;"&amp;F456,$F$3:$F$502,"&gt;"&amp;E456,$A$3:$A$502,"&lt;&gt;"&amp;A456)=0),"Sim","Não"))</f>
        <v/>
      </c>
      <c r="L456" s="13" t="str">
        <f>IF(OR(G456="",D456=""),"",IF(COUNTIFS('RESTRIÇÕES'!A:A,G456,'RESTRIÇÕES'!C:C,D456,'RESTRIÇÕES'!F:F,"Sim")&gt;0,"Com restrição","Sem restrição"))</f>
        <v/>
      </c>
      <c r="M456" s="13" t="str">
        <f t="shared" si="2"/>
        <v/>
      </c>
    </row>
    <row r="457" ht="15.75" customHeight="1">
      <c r="A457" s="11" t="str">
        <f t="shared" si="3"/>
        <v/>
      </c>
      <c r="B457" s="28"/>
      <c r="C457" s="11" t="str">
        <f t="shared" si="4"/>
        <v/>
      </c>
      <c r="D457" s="10"/>
      <c r="E457" s="19"/>
      <c r="F457" s="19"/>
      <c r="G457" s="10"/>
      <c r="H457" s="11" t="str">
        <f>IF(G457="","",IFERROR(VLOOKUP(G457,PROFESSORES!A:B,2,FALSE),""))</f>
        <v/>
      </c>
      <c r="I457" s="10"/>
      <c r="J457" s="10"/>
      <c r="K457" s="11" t="str">
        <f>IF(OR(G457="",C457="",E457="",F457="",I457=""),"",IF(AND((COUNTIFS(DISPONIBILIDADE!A:A,G457,DISPONIBILIDADE!C:C,C457,DISPONIBILIDADE!D:D,"&lt;="&amp;E457,DISPONIBILIDADE!E:E,"&gt;="&amp;F457,DISPONIBILIDADE!F:F,I457,DISPONIBILIDADE!G:G,"Sim")+COUNTIFS(DISPONIBILIDADE!A:A,G457,DISPONIBILIDADE!C:C,C457,DISPONIBILIDADE!D:D,"&lt;="&amp;E457,DISPONIBILIDADE!E:E,"&gt;="&amp;F457,DISPONIBILIDADE!F:F,"Ambas",DISPONIBILIDADE!G:G,"Sim"))&gt;0,COUNTIFS($G$3:$G$502,G457,$B$3:$B$502,B457,$E$3:$E$502,"&lt;"&amp;F457,$F$3:$F$502,"&gt;"&amp;E457,$A$3:$A$502,"&lt;&gt;"&amp;A457)=0),"Sim","Não"))</f>
        <v/>
      </c>
      <c r="L457" s="11" t="str">
        <f>IF(OR(G457="",D457=""),"",IF(COUNTIFS('RESTRIÇÕES'!A:A,G457,'RESTRIÇÕES'!C:C,D457,'RESTRIÇÕES'!F:F,"Sim")&gt;0,"Com restrição","Sem restrição"))</f>
        <v/>
      </c>
      <c r="M457" s="11" t="str">
        <f t="shared" si="2"/>
        <v/>
      </c>
    </row>
    <row r="458" ht="15.75" customHeight="1">
      <c r="A458" s="13" t="str">
        <f t="shared" si="3"/>
        <v/>
      </c>
      <c r="B458" s="27"/>
      <c r="C458" s="13" t="str">
        <f t="shared" si="4"/>
        <v/>
      </c>
      <c r="D458" s="12"/>
      <c r="E458" s="21"/>
      <c r="F458" s="21"/>
      <c r="G458" s="12"/>
      <c r="H458" s="13" t="str">
        <f>IF(G458="","",IFERROR(VLOOKUP(G458,PROFESSORES!A:B,2,FALSE),""))</f>
        <v/>
      </c>
      <c r="I458" s="12"/>
      <c r="J458" s="12"/>
      <c r="K458" s="13" t="str">
        <f>IF(OR(G458="",C458="",E458="",F458="",I458=""),"",IF(AND((COUNTIFS(DISPONIBILIDADE!A:A,G458,DISPONIBILIDADE!C:C,C458,DISPONIBILIDADE!D:D,"&lt;="&amp;E458,DISPONIBILIDADE!E:E,"&gt;="&amp;F458,DISPONIBILIDADE!F:F,I458,DISPONIBILIDADE!G:G,"Sim")+COUNTIFS(DISPONIBILIDADE!A:A,G458,DISPONIBILIDADE!C:C,C458,DISPONIBILIDADE!D:D,"&lt;="&amp;E458,DISPONIBILIDADE!E:E,"&gt;="&amp;F458,DISPONIBILIDADE!F:F,"Ambas",DISPONIBILIDADE!G:G,"Sim"))&gt;0,COUNTIFS($G$3:$G$502,G458,$B$3:$B$502,B458,$E$3:$E$502,"&lt;"&amp;F458,$F$3:$F$502,"&gt;"&amp;E458,$A$3:$A$502,"&lt;&gt;"&amp;A458)=0),"Sim","Não"))</f>
        <v/>
      </c>
      <c r="L458" s="13" t="str">
        <f>IF(OR(G458="",D458=""),"",IF(COUNTIFS('RESTRIÇÕES'!A:A,G458,'RESTRIÇÕES'!C:C,D458,'RESTRIÇÕES'!F:F,"Sim")&gt;0,"Com restrição","Sem restrição"))</f>
        <v/>
      </c>
      <c r="M458" s="13" t="str">
        <f t="shared" si="2"/>
        <v/>
      </c>
    </row>
    <row r="459" ht="15.75" customHeight="1">
      <c r="A459" s="11" t="str">
        <f t="shared" si="3"/>
        <v/>
      </c>
      <c r="B459" s="28"/>
      <c r="C459" s="11" t="str">
        <f t="shared" si="4"/>
        <v/>
      </c>
      <c r="D459" s="10"/>
      <c r="E459" s="19"/>
      <c r="F459" s="19"/>
      <c r="G459" s="10"/>
      <c r="H459" s="11" t="str">
        <f>IF(G459="","",IFERROR(VLOOKUP(G459,PROFESSORES!A:B,2,FALSE),""))</f>
        <v/>
      </c>
      <c r="I459" s="10"/>
      <c r="J459" s="10"/>
      <c r="K459" s="11" t="str">
        <f>IF(OR(G459="",C459="",E459="",F459="",I459=""),"",IF(AND((COUNTIFS(DISPONIBILIDADE!A:A,G459,DISPONIBILIDADE!C:C,C459,DISPONIBILIDADE!D:D,"&lt;="&amp;E459,DISPONIBILIDADE!E:E,"&gt;="&amp;F459,DISPONIBILIDADE!F:F,I459,DISPONIBILIDADE!G:G,"Sim")+COUNTIFS(DISPONIBILIDADE!A:A,G459,DISPONIBILIDADE!C:C,C459,DISPONIBILIDADE!D:D,"&lt;="&amp;E459,DISPONIBILIDADE!E:E,"&gt;="&amp;F459,DISPONIBILIDADE!F:F,"Ambas",DISPONIBILIDADE!G:G,"Sim"))&gt;0,COUNTIFS($G$3:$G$502,G459,$B$3:$B$502,B459,$E$3:$E$502,"&lt;"&amp;F459,$F$3:$F$502,"&gt;"&amp;E459,$A$3:$A$502,"&lt;&gt;"&amp;A459)=0),"Sim","Não"))</f>
        <v/>
      </c>
      <c r="L459" s="11" t="str">
        <f>IF(OR(G459="",D459=""),"",IF(COUNTIFS('RESTRIÇÕES'!A:A,G459,'RESTRIÇÕES'!C:C,D459,'RESTRIÇÕES'!F:F,"Sim")&gt;0,"Com restrição","Sem restrição"))</f>
        <v/>
      </c>
      <c r="M459" s="11" t="str">
        <f t="shared" si="2"/>
        <v/>
      </c>
    </row>
    <row r="460" ht="15.75" customHeight="1">
      <c r="A460" s="13" t="str">
        <f t="shared" si="3"/>
        <v/>
      </c>
      <c r="B460" s="27"/>
      <c r="C460" s="13" t="str">
        <f t="shared" si="4"/>
        <v/>
      </c>
      <c r="D460" s="12"/>
      <c r="E460" s="21"/>
      <c r="F460" s="21"/>
      <c r="G460" s="12"/>
      <c r="H460" s="13" t="str">
        <f>IF(G460="","",IFERROR(VLOOKUP(G460,PROFESSORES!A:B,2,FALSE),""))</f>
        <v/>
      </c>
      <c r="I460" s="12"/>
      <c r="J460" s="12"/>
      <c r="K460" s="13" t="str">
        <f>IF(OR(G460="",C460="",E460="",F460="",I460=""),"",IF(AND((COUNTIFS(DISPONIBILIDADE!A:A,G460,DISPONIBILIDADE!C:C,C460,DISPONIBILIDADE!D:D,"&lt;="&amp;E460,DISPONIBILIDADE!E:E,"&gt;="&amp;F460,DISPONIBILIDADE!F:F,I460,DISPONIBILIDADE!G:G,"Sim")+COUNTIFS(DISPONIBILIDADE!A:A,G460,DISPONIBILIDADE!C:C,C460,DISPONIBILIDADE!D:D,"&lt;="&amp;E460,DISPONIBILIDADE!E:E,"&gt;="&amp;F460,DISPONIBILIDADE!F:F,"Ambas",DISPONIBILIDADE!G:G,"Sim"))&gt;0,COUNTIFS($G$3:$G$502,G460,$B$3:$B$502,B460,$E$3:$E$502,"&lt;"&amp;F460,$F$3:$F$502,"&gt;"&amp;E460,$A$3:$A$502,"&lt;&gt;"&amp;A460)=0),"Sim","Não"))</f>
        <v/>
      </c>
      <c r="L460" s="13" t="str">
        <f>IF(OR(G460="",D460=""),"",IF(COUNTIFS('RESTRIÇÕES'!A:A,G460,'RESTRIÇÕES'!C:C,D460,'RESTRIÇÕES'!F:F,"Sim")&gt;0,"Com restrição","Sem restrição"))</f>
        <v/>
      </c>
      <c r="M460" s="13" t="str">
        <f t="shared" si="2"/>
        <v/>
      </c>
    </row>
    <row r="461" ht="15.75" customHeight="1">
      <c r="A461" s="11" t="str">
        <f t="shared" si="3"/>
        <v/>
      </c>
      <c r="B461" s="28"/>
      <c r="C461" s="11" t="str">
        <f t="shared" si="4"/>
        <v/>
      </c>
      <c r="D461" s="10"/>
      <c r="E461" s="19"/>
      <c r="F461" s="19"/>
      <c r="G461" s="10"/>
      <c r="H461" s="11" t="str">
        <f>IF(G461="","",IFERROR(VLOOKUP(G461,PROFESSORES!A:B,2,FALSE),""))</f>
        <v/>
      </c>
      <c r="I461" s="10"/>
      <c r="J461" s="10"/>
      <c r="K461" s="11" t="str">
        <f>IF(OR(G461="",C461="",E461="",F461="",I461=""),"",IF(AND((COUNTIFS(DISPONIBILIDADE!A:A,G461,DISPONIBILIDADE!C:C,C461,DISPONIBILIDADE!D:D,"&lt;="&amp;E461,DISPONIBILIDADE!E:E,"&gt;="&amp;F461,DISPONIBILIDADE!F:F,I461,DISPONIBILIDADE!G:G,"Sim")+COUNTIFS(DISPONIBILIDADE!A:A,G461,DISPONIBILIDADE!C:C,C461,DISPONIBILIDADE!D:D,"&lt;="&amp;E461,DISPONIBILIDADE!E:E,"&gt;="&amp;F461,DISPONIBILIDADE!F:F,"Ambas",DISPONIBILIDADE!G:G,"Sim"))&gt;0,COUNTIFS($G$3:$G$502,G461,$B$3:$B$502,B461,$E$3:$E$502,"&lt;"&amp;F461,$F$3:$F$502,"&gt;"&amp;E461,$A$3:$A$502,"&lt;&gt;"&amp;A461)=0),"Sim","Não"))</f>
        <v/>
      </c>
      <c r="L461" s="11" t="str">
        <f>IF(OR(G461="",D461=""),"",IF(COUNTIFS('RESTRIÇÕES'!A:A,G461,'RESTRIÇÕES'!C:C,D461,'RESTRIÇÕES'!F:F,"Sim")&gt;0,"Com restrição","Sem restrição"))</f>
        <v/>
      </c>
      <c r="M461" s="11" t="str">
        <f t="shared" si="2"/>
        <v/>
      </c>
    </row>
    <row r="462" ht="15.75" customHeight="1">
      <c r="A462" s="13" t="str">
        <f t="shared" si="3"/>
        <v/>
      </c>
      <c r="B462" s="27"/>
      <c r="C462" s="13" t="str">
        <f t="shared" si="4"/>
        <v/>
      </c>
      <c r="D462" s="12"/>
      <c r="E462" s="21"/>
      <c r="F462" s="21"/>
      <c r="G462" s="12"/>
      <c r="H462" s="13" t="str">
        <f>IF(G462="","",IFERROR(VLOOKUP(G462,PROFESSORES!A:B,2,FALSE),""))</f>
        <v/>
      </c>
      <c r="I462" s="12"/>
      <c r="J462" s="12"/>
      <c r="K462" s="13" t="str">
        <f>IF(OR(G462="",C462="",E462="",F462="",I462=""),"",IF(AND((COUNTIFS(DISPONIBILIDADE!A:A,G462,DISPONIBILIDADE!C:C,C462,DISPONIBILIDADE!D:D,"&lt;="&amp;E462,DISPONIBILIDADE!E:E,"&gt;="&amp;F462,DISPONIBILIDADE!F:F,I462,DISPONIBILIDADE!G:G,"Sim")+COUNTIFS(DISPONIBILIDADE!A:A,G462,DISPONIBILIDADE!C:C,C462,DISPONIBILIDADE!D:D,"&lt;="&amp;E462,DISPONIBILIDADE!E:E,"&gt;="&amp;F462,DISPONIBILIDADE!F:F,"Ambas",DISPONIBILIDADE!G:G,"Sim"))&gt;0,COUNTIFS($G$3:$G$502,G462,$B$3:$B$502,B462,$E$3:$E$502,"&lt;"&amp;F462,$F$3:$F$502,"&gt;"&amp;E462,$A$3:$A$502,"&lt;&gt;"&amp;A462)=0),"Sim","Não"))</f>
        <v/>
      </c>
      <c r="L462" s="13" t="str">
        <f>IF(OR(G462="",D462=""),"",IF(COUNTIFS('RESTRIÇÕES'!A:A,G462,'RESTRIÇÕES'!C:C,D462,'RESTRIÇÕES'!F:F,"Sim")&gt;0,"Com restrição","Sem restrição"))</f>
        <v/>
      </c>
      <c r="M462" s="13" t="str">
        <f t="shared" si="2"/>
        <v/>
      </c>
    </row>
    <row r="463" ht="15.75" customHeight="1">
      <c r="A463" s="11" t="str">
        <f t="shared" si="3"/>
        <v/>
      </c>
      <c r="B463" s="28"/>
      <c r="C463" s="11" t="str">
        <f t="shared" si="4"/>
        <v/>
      </c>
      <c r="D463" s="10"/>
      <c r="E463" s="19"/>
      <c r="F463" s="19"/>
      <c r="G463" s="10"/>
      <c r="H463" s="11" t="str">
        <f>IF(G463="","",IFERROR(VLOOKUP(G463,PROFESSORES!A:B,2,FALSE),""))</f>
        <v/>
      </c>
      <c r="I463" s="10"/>
      <c r="J463" s="10"/>
      <c r="K463" s="11" t="str">
        <f>IF(OR(G463="",C463="",E463="",F463="",I463=""),"",IF(AND((COUNTIFS(DISPONIBILIDADE!A:A,G463,DISPONIBILIDADE!C:C,C463,DISPONIBILIDADE!D:D,"&lt;="&amp;E463,DISPONIBILIDADE!E:E,"&gt;="&amp;F463,DISPONIBILIDADE!F:F,I463,DISPONIBILIDADE!G:G,"Sim")+COUNTIFS(DISPONIBILIDADE!A:A,G463,DISPONIBILIDADE!C:C,C463,DISPONIBILIDADE!D:D,"&lt;="&amp;E463,DISPONIBILIDADE!E:E,"&gt;="&amp;F463,DISPONIBILIDADE!F:F,"Ambas",DISPONIBILIDADE!G:G,"Sim"))&gt;0,COUNTIFS($G$3:$G$502,G463,$B$3:$B$502,B463,$E$3:$E$502,"&lt;"&amp;F463,$F$3:$F$502,"&gt;"&amp;E463,$A$3:$A$502,"&lt;&gt;"&amp;A463)=0),"Sim","Não"))</f>
        <v/>
      </c>
      <c r="L463" s="11" t="str">
        <f>IF(OR(G463="",D463=""),"",IF(COUNTIFS('RESTRIÇÕES'!A:A,G463,'RESTRIÇÕES'!C:C,D463,'RESTRIÇÕES'!F:F,"Sim")&gt;0,"Com restrição","Sem restrição"))</f>
        <v/>
      </c>
      <c r="M463" s="11" t="str">
        <f t="shared" si="2"/>
        <v/>
      </c>
    </row>
    <row r="464" ht="15.75" customHeight="1">
      <c r="A464" s="13" t="str">
        <f t="shared" si="3"/>
        <v/>
      </c>
      <c r="B464" s="27"/>
      <c r="C464" s="13" t="str">
        <f t="shared" si="4"/>
        <v/>
      </c>
      <c r="D464" s="12"/>
      <c r="E464" s="21"/>
      <c r="F464" s="21"/>
      <c r="G464" s="12"/>
      <c r="H464" s="13" t="str">
        <f>IF(G464="","",IFERROR(VLOOKUP(G464,PROFESSORES!A:B,2,FALSE),""))</f>
        <v/>
      </c>
      <c r="I464" s="12"/>
      <c r="J464" s="12"/>
      <c r="K464" s="13" t="str">
        <f>IF(OR(G464="",C464="",E464="",F464="",I464=""),"",IF(AND((COUNTIFS(DISPONIBILIDADE!A:A,G464,DISPONIBILIDADE!C:C,C464,DISPONIBILIDADE!D:D,"&lt;="&amp;E464,DISPONIBILIDADE!E:E,"&gt;="&amp;F464,DISPONIBILIDADE!F:F,I464,DISPONIBILIDADE!G:G,"Sim")+COUNTIFS(DISPONIBILIDADE!A:A,G464,DISPONIBILIDADE!C:C,C464,DISPONIBILIDADE!D:D,"&lt;="&amp;E464,DISPONIBILIDADE!E:E,"&gt;="&amp;F464,DISPONIBILIDADE!F:F,"Ambas",DISPONIBILIDADE!G:G,"Sim"))&gt;0,COUNTIFS($G$3:$G$502,G464,$B$3:$B$502,B464,$E$3:$E$502,"&lt;"&amp;F464,$F$3:$F$502,"&gt;"&amp;E464,$A$3:$A$502,"&lt;&gt;"&amp;A464)=0),"Sim","Não"))</f>
        <v/>
      </c>
      <c r="L464" s="13" t="str">
        <f>IF(OR(G464="",D464=""),"",IF(COUNTIFS('RESTRIÇÕES'!A:A,G464,'RESTRIÇÕES'!C:C,D464,'RESTRIÇÕES'!F:F,"Sim")&gt;0,"Com restrição","Sem restrição"))</f>
        <v/>
      </c>
      <c r="M464" s="13" t="str">
        <f t="shared" si="2"/>
        <v/>
      </c>
    </row>
    <row r="465" ht="15.75" customHeight="1">
      <c r="A465" s="11" t="str">
        <f t="shared" si="3"/>
        <v/>
      </c>
      <c r="B465" s="28"/>
      <c r="C465" s="11" t="str">
        <f t="shared" si="4"/>
        <v/>
      </c>
      <c r="D465" s="10"/>
      <c r="E465" s="19"/>
      <c r="F465" s="19"/>
      <c r="G465" s="10"/>
      <c r="H465" s="11" t="str">
        <f>IF(G465="","",IFERROR(VLOOKUP(G465,PROFESSORES!A:B,2,FALSE),""))</f>
        <v/>
      </c>
      <c r="I465" s="10"/>
      <c r="J465" s="10"/>
      <c r="K465" s="11" t="str">
        <f>IF(OR(G465="",C465="",E465="",F465="",I465=""),"",IF(AND((COUNTIFS(DISPONIBILIDADE!A:A,G465,DISPONIBILIDADE!C:C,C465,DISPONIBILIDADE!D:D,"&lt;="&amp;E465,DISPONIBILIDADE!E:E,"&gt;="&amp;F465,DISPONIBILIDADE!F:F,I465,DISPONIBILIDADE!G:G,"Sim")+COUNTIFS(DISPONIBILIDADE!A:A,G465,DISPONIBILIDADE!C:C,C465,DISPONIBILIDADE!D:D,"&lt;="&amp;E465,DISPONIBILIDADE!E:E,"&gt;="&amp;F465,DISPONIBILIDADE!F:F,"Ambas",DISPONIBILIDADE!G:G,"Sim"))&gt;0,COUNTIFS($G$3:$G$502,G465,$B$3:$B$502,B465,$E$3:$E$502,"&lt;"&amp;F465,$F$3:$F$502,"&gt;"&amp;E465,$A$3:$A$502,"&lt;&gt;"&amp;A465)=0),"Sim","Não"))</f>
        <v/>
      </c>
      <c r="L465" s="11" t="str">
        <f>IF(OR(G465="",D465=""),"",IF(COUNTIFS('RESTRIÇÕES'!A:A,G465,'RESTRIÇÕES'!C:C,D465,'RESTRIÇÕES'!F:F,"Sim")&gt;0,"Com restrição","Sem restrição"))</f>
        <v/>
      </c>
      <c r="M465" s="11" t="str">
        <f t="shared" si="2"/>
        <v/>
      </c>
    </row>
    <row r="466" ht="15.75" customHeight="1">
      <c r="A466" s="13" t="str">
        <f t="shared" si="3"/>
        <v/>
      </c>
      <c r="B466" s="27"/>
      <c r="C466" s="13" t="str">
        <f t="shared" si="4"/>
        <v/>
      </c>
      <c r="D466" s="12"/>
      <c r="E466" s="21"/>
      <c r="F466" s="21"/>
      <c r="G466" s="12"/>
      <c r="H466" s="13" t="str">
        <f>IF(G466="","",IFERROR(VLOOKUP(G466,PROFESSORES!A:B,2,FALSE),""))</f>
        <v/>
      </c>
      <c r="I466" s="12"/>
      <c r="J466" s="12"/>
      <c r="K466" s="13" t="str">
        <f>IF(OR(G466="",C466="",E466="",F466="",I466=""),"",IF(AND((COUNTIFS(DISPONIBILIDADE!A:A,G466,DISPONIBILIDADE!C:C,C466,DISPONIBILIDADE!D:D,"&lt;="&amp;E466,DISPONIBILIDADE!E:E,"&gt;="&amp;F466,DISPONIBILIDADE!F:F,I466,DISPONIBILIDADE!G:G,"Sim")+COUNTIFS(DISPONIBILIDADE!A:A,G466,DISPONIBILIDADE!C:C,C466,DISPONIBILIDADE!D:D,"&lt;="&amp;E466,DISPONIBILIDADE!E:E,"&gt;="&amp;F466,DISPONIBILIDADE!F:F,"Ambas",DISPONIBILIDADE!G:G,"Sim"))&gt;0,COUNTIFS($G$3:$G$502,G466,$B$3:$B$502,B466,$E$3:$E$502,"&lt;"&amp;F466,$F$3:$F$502,"&gt;"&amp;E466,$A$3:$A$502,"&lt;&gt;"&amp;A466)=0),"Sim","Não"))</f>
        <v/>
      </c>
      <c r="L466" s="13" t="str">
        <f>IF(OR(G466="",D466=""),"",IF(COUNTIFS('RESTRIÇÕES'!A:A,G466,'RESTRIÇÕES'!C:C,D466,'RESTRIÇÕES'!F:F,"Sim")&gt;0,"Com restrição","Sem restrição"))</f>
        <v/>
      </c>
      <c r="M466" s="13" t="str">
        <f t="shared" si="2"/>
        <v/>
      </c>
    </row>
    <row r="467" ht="15.75" customHeight="1">
      <c r="A467" s="11" t="str">
        <f t="shared" si="3"/>
        <v/>
      </c>
      <c r="B467" s="28"/>
      <c r="C467" s="11" t="str">
        <f t="shared" si="4"/>
        <v/>
      </c>
      <c r="D467" s="10"/>
      <c r="E467" s="19"/>
      <c r="F467" s="19"/>
      <c r="G467" s="10"/>
      <c r="H467" s="11" t="str">
        <f>IF(G467="","",IFERROR(VLOOKUP(G467,PROFESSORES!A:B,2,FALSE),""))</f>
        <v/>
      </c>
      <c r="I467" s="10"/>
      <c r="J467" s="10"/>
      <c r="K467" s="11" t="str">
        <f>IF(OR(G467="",C467="",E467="",F467="",I467=""),"",IF(AND((COUNTIFS(DISPONIBILIDADE!A:A,G467,DISPONIBILIDADE!C:C,C467,DISPONIBILIDADE!D:D,"&lt;="&amp;E467,DISPONIBILIDADE!E:E,"&gt;="&amp;F467,DISPONIBILIDADE!F:F,I467,DISPONIBILIDADE!G:G,"Sim")+COUNTIFS(DISPONIBILIDADE!A:A,G467,DISPONIBILIDADE!C:C,C467,DISPONIBILIDADE!D:D,"&lt;="&amp;E467,DISPONIBILIDADE!E:E,"&gt;="&amp;F467,DISPONIBILIDADE!F:F,"Ambas",DISPONIBILIDADE!G:G,"Sim"))&gt;0,COUNTIFS($G$3:$G$502,G467,$B$3:$B$502,B467,$E$3:$E$502,"&lt;"&amp;F467,$F$3:$F$502,"&gt;"&amp;E467,$A$3:$A$502,"&lt;&gt;"&amp;A467)=0),"Sim","Não"))</f>
        <v/>
      </c>
      <c r="L467" s="11" t="str">
        <f>IF(OR(G467="",D467=""),"",IF(COUNTIFS('RESTRIÇÕES'!A:A,G467,'RESTRIÇÕES'!C:C,D467,'RESTRIÇÕES'!F:F,"Sim")&gt;0,"Com restrição","Sem restrição"))</f>
        <v/>
      </c>
      <c r="M467" s="11" t="str">
        <f t="shared" si="2"/>
        <v/>
      </c>
    </row>
    <row r="468" ht="15.75" customHeight="1">
      <c r="A468" s="13" t="str">
        <f t="shared" si="3"/>
        <v/>
      </c>
      <c r="B468" s="27"/>
      <c r="C468" s="13" t="str">
        <f t="shared" si="4"/>
        <v/>
      </c>
      <c r="D468" s="12"/>
      <c r="E468" s="21"/>
      <c r="F468" s="21"/>
      <c r="G468" s="12"/>
      <c r="H468" s="13" t="str">
        <f>IF(G468="","",IFERROR(VLOOKUP(G468,PROFESSORES!A:B,2,FALSE),""))</f>
        <v/>
      </c>
      <c r="I468" s="12"/>
      <c r="J468" s="12"/>
      <c r="K468" s="13" t="str">
        <f>IF(OR(G468="",C468="",E468="",F468="",I468=""),"",IF(AND((COUNTIFS(DISPONIBILIDADE!A:A,G468,DISPONIBILIDADE!C:C,C468,DISPONIBILIDADE!D:D,"&lt;="&amp;E468,DISPONIBILIDADE!E:E,"&gt;="&amp;F468,DISPONIBILIDADE!F:F,I468,DISPONIBILIDADE!G:G,"Sim")+COUNTIFS(DISPONIBILIDADE!A:A,G468,DISPONIBILIDADE!C:C,C468,DISPONIBILIDADE!D:D,"&lt;="&amp;E468,DISPONIBILIDADE!E:E,"&gt;="&amp;F468,DISPONIBILIDADE!F:F,"Ambas",DISPONIBILIDADE!G:G,"Sim"))&gt;0,COUNTIFS($G$3:$G$502,G468,$B$3:$B$502,B468,$E$3:$E$502,"&lt;"&amp;F468,$F$3:$F$502,"&gt;"&amp;E468,$A$3:$A$502,"&lt;&gt;"&amp;A468)=0),"Sim","Não"))</f>
        <v/>
      </c>
      <c r="L468" s="13" t="str">
        <f>IF(OR(G468="",D468=""),"",IF(COUNTIFS('RESTRIÇÕES'!A:A,G468,'RESTRIÇÕES'!C:C,D468,'RESTRIÇÕES'!F:F,"Sim")&gt;0,"Com restrição","Sem restrição"))</f>
        <v/>
      </c>
      <c r="M468" s="13" t="str">
        <f t="shared" si="2"/>
        <v/>
      </c>
    </row>
    <row r="469" ht="15.75" customHeight="1">
      <c r="A469" s="11" t="str">
        <f t="shared" si="3"/>
        <v/>
      </c>
      <c r="B469" s="28"/>
      <c r="C469" s="11" t="str">
        <f t="shared" si="4"/>
        <v/>
      </c>
      <c r="D469" s="10"/>
      <c r="E469" s="19"/>
      <c r="F469" s="19"/>
      <c r="G469" s="10"/>
      <c r="H469" s="11" t="str">
        <f>IF(G469="","",IFERROR(VLOOKUP(G469,PROFESSORES!A:B,2,FALSE),""))</f>
        <v/>
      </c>
      <c r="I469" s="10"/>
      <c r="J469" s="10"/>
      <c r="K469" s="11" t="str">
        <f>IF(OR(G469="",C469="",E469="",F469="",I469=""),"",IF(AND((COUNTIFS(DISPONIBILIDADE!A:A,G469,DISPONIBILIDADE!C:C,C469,DISPONIBILIDADE!D:D,"&lt;="&amp;E469,DISPONIBILIDADE!E:E,"&gt;="&amp;F469,DISPONIBILIDADE!F:F,I469,DISPONIBILIDADE!G:G,"Sim")+COUNTIFS(DISPONIBILIDADE!A:A,G469,DISPONIBILIDADE!C:C,C469,DISPONIBILIDADE!D:D,"&lt;="&amp;E469,DISPONIBILIDADE!E:E,"&gt;="&amp;F469,DISPONIBILIDADE!F:F,"Ambas",DISPONIBILIDADE!G:G,"Sim"))&gt;0,COUNTIFS($G$3:$G$502,G469,$B$3:$B$502,B469,$E$3:$E$502,"&lt;"&amp;F469,$F$3:$F$502,"&gt;"&amp;E469,$A$3:$A$502,"&lt;&gt;"&amp;A469)=0),"Sim","Não"))</f>
        <v/>
      </c>
      <c r="L469" s="11" t="str">
        <f>IF(OR(G469="",D469=""),"",IF(COUNTIFS('RESTRIÇÕES'!A:A,G469,'RESTRIÇÕES'!C:C,D469,'RESTRIÇÕES'!F:F,"Sim")&gt;0,"Com restrição","Sem restrição"))</f>
        <v/>
      </c>
      <c r="M469" s="11" t="str">
        <f t="shared" si="2"/>
        <v/>
      </c>
    </row>
    <row r="470" ht="15.75" customHeight="1">
      <c r="A470" s="13" t="str">
        <f t="shared" si="3"/>
        <v/>
      </c>
      <c r="B470" s="27"/>
      <c r="C470" s="13" t="str">
        <f t="shared" si="4"/>
        <v/>
      </c>
      <c r="D470" s="12"/>
      <c r="E470" s="21"/>
      <c r="F470" s="21"/>
      <c r="G470" s="12"/>
      <c r="H470" s="13" t="str">
        <f>IF(G470="","",IFERROR(VLOOKUP(G470,PROFESSORES!A:B,2,FALSE),""))</f>
        <v/>
      </c>
      <c r="I470" s="12"/>
      <c r="J470" s="12"/>
      <c r="K470" s="13" t="str">
        <f>IF(OR(G470="",C470="",E470="",F470="",I470=""),"",IF(AND((COUNTIFS(DISPONIBILIDADE!A:A,G470,DISPONIBILIDADE!C:C,C470,DISPONIBILIDADE!D:D,"&lt;="&amp;E470,DISPONIBILIDADE!E:E,"&gt;="&amp;F470,DISPONIBILIDADE!F:F,I470,DISPONIBILIDADE!G:G,"Sim")+COUNTIFS(DISPONIBILIDADE!A:A,G470,DISPONIBILIDADE!C:C,C470,DISPONIBILIDADE!D:D,"&lt;="&amp;E470,DISPONIBILIDADE!E:E,"&gt;="&amp;F470,DISPONIBILIDADE!F:F,"Ambas",DISPONIBILIDADE!G:G,"Sim"))&gt;0,COUNTIFS($G$3:$G$502,G470,$B$3:$B$502,B470,$E$3:$E$502,"&lt;"&amp;F470,$F$3:$F$502,"&gt;"&amp;E470,$A$3:$A$502,"&lt;&gt;"&amp;A470)=0),"Sim","Não"))</f>
        <v/>
      </c>
      <c r="L470" s="13" t="str">
        <f>IF(OR(G470="",D470=""),"",IF(COUNTIFS('RESTRIÇÕES'!A:A,G470,'RESTRIÇÕES'!C:C,D470,'RESTRIÇÕES'!F:F,"Sim")&gt;0,"Com restrição","Sem restrição"))</f>
        <v/>
      </c>
      <c r="M470" s="13" t="str">
        <f t="shared" si="2"/>
        <v/>
      </c>
    </row>
    <row r="471" ht="15.75" customHeight="1">
      <c r="A471" s="11" t="str">
        <f t="shared" si="3"/>
        <v/>
      </c>
      <c r="B471" s="28"/>
      <c r="C471" s="11" t="str">
        <f t="shared" si="4"/>
        <v/>
      </c>
      <c r="D471" s="10"/>
      <c r="E471" s="19"/>
      <c r="F471" s="19"/>
      <c r="G471" s="10"/>
      <c r="H471" s="11" t="str">
        <f>IF(G471="","",IFERROR(VLOOKUP(G471,PROFESSORES!A:B,2,FALSE),""))</f>
        <v/>
      </c>
      <c r="I471" s="10"/>
      <c r="J471" s="10"/>
      <c r="K471" s="11" t="str">
        <f>IF(OR(G471="",C471="",E471="",F471="",I471=""),"",IF(AND((COUNTIFS(DISPONIBILIDADE!A:A,G471,DISPONIBILIDADE!C:C,C471,DISPONIBILIDADE!D:D,"&lt;="&amp;E471,DISPONIBILIDADE!E:E,"&gt;="&amp;F471,DISPONIBILIDADE!F:F,I471,DISPONIBILIDADE!G:G,"Sim")+COUNTIFS(DISPONIBILIDADE!A:A,G471,DISPONIBILIDADE!C:C,C471,DISPONIBILIDADE!D:D,"&lt;="&amp;E471,DISPONIBILIDADE!E:E,"&gt;="&amp;F471,DISPONIBILIDADE!F:F,"Ambas",DISPONIBILIDADE!G:G,"Sim"))&gt;0,COUNTIFS($G$3:$G$502,G471,$B$3:$B$502,B471,$E$3:$E$502,"&lt;"&amp;F471,$F$3:$F$502,"&gt;"&amp;E471,$A$3:$A$502,"&lt;&gt;"&amp;A471)=0),"Sim","Não"))</f>
        <v/>
      </c>
      <c r="L471" s="11" t="str">
        <f>IF(OR(G471="",D471=""),"",IF(COUNTIFS('RESTRIÇÕES'!A:A,G471,'RESTRIÇÕES'!C:C,D471,'RESTRIÇÕES'!F:F,"Sim")&gt;0,"Com restrição","Sem restrição"))</f>
        <v/>
      </c>
      <c r="M471" s="11" t="str">
        <f t="shared" si="2"/>
        <v/>
      </c>
    </row>
    <row r="472" ht="15.75" customHeight="1">
      <c r="A472" s="13" t="str">
        <f t="shared" si="3"/>
        <v/>
      </c>
      <c r="B472" s="27"/>
      <c r="C472" s="13" t="str">
        <f t="shared" si="4"/>
        <v/>
      </c>
      <c r="D472" s="12"/>
      <c r="E472" s="21"/>
      <c r="F472" s="21"/>
      <c r="G472" s="12"/>
      <c r="H472" s="13" t="str">
        <f>IF(G472="","",IFERROR(VLOOKUP(G472,PROFESSORES!A:B,2,FALSE),""))</f>
        <v/>
      </c>
      <c r="I472" s="12"/>
      <c r="J472" s="12"/>
      <c r="K472" s="13" t="str">
        <f>IF(OR(G472="",C472="",E472="",F472="",I472=""),"",IF(AND((COUNTIFS(DISPONIBILIDADE!A:A,G472,DISPONIBILIDADE!C:C,C472,DISPONIBILIDADE!D:D,"&lt;="&amp;E472,DISPONIBILIDADE!E:E,"&gt;="&amp;F472,DISPONIBILIDADE!F:F,I472,DISPONIBILIDADE!G:G,"Sim")+COUNTIFS(DISPONIBILIDADE!A:A,G472,DISPONIBILIDADE!C:C,C472,DISPONIBILIDADE!D:D,"&lt;="&amp;E472,DISPONIBILIDADE!E:E,"&gt;="&amp;F472,DISPONIBILIDADE!F:F,"Ambas",DISPONIBILIDADE!G:G,"Sim"))&gt;0,COUNTIFS($G$3:$G$502,G472,$B$3:$B$502,B472,$E$3:$E$502,"&lt;"&amp;F472,$F$3:$F$502,"&gt;"&amp;E472,$A$3:$A$502,"&lt;&gt;"&amp;A472)=0),"Sim","Não"))</f>
        <v/>
      </c>
      <c r="L472" s="13" t="str">
        <f>IF(OR(G472="",D472=""),"",IF(COUNTIFS('RESTRIÇÕES'!A:A,G472,'RESTRIÇÕES'!C:C,D472,'RESTRIÇÕES'!F:F,"Sim")&gt;0,"Com restrição","Sem restrição"))</f>
        <v/>
      </c>
      <c r="M472" s="13" t="str">
        <f t="shared" si="2"/>
        <v/>
      </c>
    </row>
    <row r="473" ht="15.75" customHeight="1">
      <c r="A473" s="11" t="str">
        <f t="shared" si="3"/>
        <v/>
      </c>
      <c r="B473" s="28"/>
      <c r="C473" s="11" t="str">
        <f t="shared" si="4"/>
        <v/>
      </c>
      <c r="D473" s="10"/>
      <c r="E473" s="19"/>
      <c r="F473" s="19"/>
      <c r="G473" s="10"/>
      <c r="H473" s="11" t="str">
        <f>IF(G473="","",IFERROR(VLOOKUP(G473,PROFESSORES!A:B,2,FALSE),""))</f>
        <v/>
      </c>
      <c r="I473" s="10"/>
      <c r="J473" s="10"/>
      <c r="K473" s="11" t="str">
        <f>IF(OR(G473="",C473="",E473="",F473="",I473=""),"",IF(AND((COUNTIFS(DISPONIBILIDADE!A:A,G473,DISPONIBILIDADE!C:C,C473,DISPONIBILIDADE!D:D,"&lt;="&amp;E473,DISPONIBILIDADE!E:E,"&gt;="&amp;F473,DISPONIBILIDADE!F:F,I473,DISPONIBILIDADE!G:G,"Sim")+COUNTIFS(DISPONIBILIDADE!A:A,G473,DISPONIBILIDADE!C:C,C473,DISPONIBILIDADE!D:D,"&lt;="&amp;E473,DISPONIBILIDADE!E:E,"&gt;="&amp;F473,DISPONIBILIDADE!F:F,"Ambas",DISPONIBILIDADE!G:G,"Sim"))&gt;0,COUNTIFS($G$3:$G$502,G473,$B$3:$B$502,B473,$E$3:$E$502,"&lt;"&amp;F473,$F$3:$F$502,"&gt;"&amp;E473,$A$3:$A$502,"&lt;&gt;"&amp;A473)=0),"Sim","Não"))</f>
        <v/>
      </c>
      <c r="L473" s="11" t="str">
        <f>IF(OR(G473="",D473=""),"",IF(COUNTIFS('RESTRIÇÕES'!A:A,G473,'RESTRIÇÕES'!C:C,D473,'RESTRIÇÕES'!F:F,"Sim")&gt;0,"Com restrição","Sem restrição"))</f>
        <v/>
      </c>
      <c r="M473" s="11" t="str">
        <f t="shared" si="2"/>
        <v/>
      </c>
    </row>
    <row r="474" ht="15.75" customHeight="1">
      <c r="A474" s="13" t="str">
        <f t="shared" si="3"/>
        <v/>
      </c>
      <c r="B474" s="27"/>
      <c r="C474" s="13" t="str">
        <f t="shared" si="4"/>
        <v/>
      </c>
      <c r="D474" s="12"/>
      <c r="E474" s="21"/>
      <c r="F474" s="21"/>
      <c r="G474" s="12"/>
      <c r="H474" s="13" t="str">
        <f>IF(G474="","",IFERROR(VLOOKUP(G474,PROFESSORES!A:B,2,FALSE),""))</f>
        <v/>
      </c>
      <c r="I474" s="12"/>
      <c r="J474" s="12"/>
      <c r="K474" s="13" t="str">
        <f>IF(OR(G474="",C474="",E474="",F474="",I474=""),"",IF(AND((COUNTIFS(DISPONIBILIDADE!A:A,G474,DISPONIBILIDADE!C:C,C474,DISPONIBILIDADE!D:D,"&lt;="&amp;E474,DISPONIBILIDADE!E:E,"&gt;="&amp;F474,DISPONIBILIDADE!F:F,I474,DISPONIBILIDADE!G:G,"Sim")+COUNTIFS(DISPONIBILIDADE!A:A,G474,DISPONIBILIDADE!C:C,C474,DISPONIBILIDADE!D:D,"&lt;="&amp;E474,DISPONIBILIDADE!E:E,"&gt;="&amp;F474,DISPONIBILIDADE!F:F,"Ambas",DISPONIBILIDADE!G:G,"Sim"))&gt;0,COUNTIFS($G$3:$G$502,G474,$B$3:$B$502,B474,$E$3:$E$502,"&lt;"&amp;F474,$F$3:$F$502,"&gt;"&amp;E474,$A$3:$A$502,"&lt;&gt;"&amp;A474)=0),"Sim","Não"))</f>
        <v/>
      </c>
      <c r="L474" s="13" t="str">
        <f>IF(OR(G474="",D474=""),"",IF(COUNTIFS('RESTRIÇÕES'!A:A,G474,'RESTRIÇÕES'!C:C,D474,'RESTRIÇÕES'!F:F,"Sim")&gt;0,"Com restrição","Sem restrição"))</f>
        <v/>
      </c>
      <c r="M474" s="13" t="str">
        <f t="shared" si="2"/>
        <v/>
      </c>
    </row>
    <row r="475" ht="15.75" customHeight="1">
      <c r="A475" s="11" t="str">
        <f t="shared" si="3"/>
        <v/>
      </c>
      <c r="B475" s="28"/>
      <c r="C475" s="11" t="str">
        <f t="shared" si="4"/>
        <v/>
      </c>
      <c r="D475" s="10"/>
      <c r="E475" s="19"/>
      <c r="F475" s="19"/>
      <c r="G475" s="10"/>
      <c r="H475" s="11" t="str">
        <f>IF(G475="","",IFERROR(VLOOKUP(G475,PROFESSORES!A:B,2,FALSE),""))</f>
        <v/>
      </c>
      <c r="I475" s="10"/>
      <c r="J475" s="10"/>
      <c r="K475" s="11" t="str">
        <f>IF(OR(G475="",C475="",E475="",F475="",I475=""),"",IF(AND((COUNTIFS(DISPONIBILIDADE!A:A,G475,DISPONIBILIDADE!C:C,C475,DISPONIBILIDADE!D:D,"&lt;="&amp;E475,DISPONIBILIDADE!E:E,"&gt;="&amp;F475,DISPONIBILIDADE!F:F,I475,DISPONIBILIDADE!G:G,"Sim")+COUNTIFS(DISPONIBILIDADE!A:A,G475,DISPONIBILIDADE!C:C,C475,DISPONIBILIDADE!D:D,"&lt;="&amp;E475,DISPONIBILIDADE!E:E,"&gt;="&amp;F475,DISPONIBILIDADE!F:F,"Ambas",DISPONIBILIDADE!G:G,"Sim"))&gt;0,COUNTIFS($G$3:$G$502,G475,$B$3:$B$502,B475,$E$3:$E$502,"&lt;"&amp;F475,$F$3:$F$502,"&gt;"&amp;E475,$A$3:$A$502,"&lt;&gt;"&amp;A475)=0),"Sim","Não"))</f>
        <v/>
      </c>
      <c r="L475" s="11" t="str">
        <f>IF(OR(G475="",D475=""),"",IF(COUNTIFS('RESTRIÇÕES'!A:A,G475,'RESTRIÇÕES'!C:C,D475,'RESTRIÇÕES'!F:F,"Sim")&gt;0,"Com restrição","Sem restrição"))</f>
        <v/>
      </c>
      <c r="M475" s="11" t="str">
        <f t="shared" si="2"/>
        <v/>
      </c>
    </row>
    <row r="476" ht="15.75" customHeight="1">
      <c r="A476" s="13" t="str">
        <f t="shared" si="3"/>
        <v/>
      </c>
      <c r="B476" s="27"/>
      <c r="C476" s="13" t="str">
        <f t="shared" si="4"/>
        <v/>
      </c>
      <c r="D476" s="12"/>
      <c r="E476" s="21"/>
      <c r="F476" s="21"/>
      <c r="G476" s="12"/>
      <c r="H476" s="13" t="str">
        <f>IF(G476="","",IFERROR(VLOOKUP(G476,PROFESSORES!A:B,2,FALSE),""))</f>
        <v/>
      </c>
      <c r="I476" s="12"/>
      <c r="J476" s="12"/>
      <c r="K476" s="13" t="str">
        <f>IF(OR(G476="",C476="",E476="",F476="",I476=""),"",IF(AND((COUNTIFS(DISPONIBILIDADE!A:A,G476,DISPONIBILIDADE!C:C,C476,DISPONIBILIDADE!D:D,"&lt;="&amp;E476,DISPONIBILIDADE!E:E,"&gt;="&amp;F476,DISPONIBILIDADE!F:F,I476,DISPONIBILIDADE!G:G,"Sim")+COUNTIFS(DISPONIBILIDADE!A:A,G476,DISPONIBILIDADE!C:C,C476,DISPONIBILIDADE!D:D,"&lt;="&amp;E476,DISPONIBILIDADE!E:E,"&gt;="&amp;F476,DISPONIBILIDADE!F:F,"Ambas",DISPONIBILIDADE!G:G,"Sim"))&gt;0,COUNTIFS($G$3:$G$502,G476,$B$3:$B$502,B476,$E$3:$E$502,"&lt;"&amp;F476,$F$3:$F$502,"&gt;"&amp;E476,$A$3:$A$502,"&lt;&gt;"&amp;A476)=0),"Sim","Não"))</f>
        <v/>
      </c>
      <c r="L476" s="13" t="str">
        <f>IF(OR(G476="",D476=""),"",IF(COUNTIFS('RESTRIÇÕES'!A:A,G476,'RESTRIÇÕES'!C:C,D476,'RESTRIÇÕES'!F:F,"Sim")&gt;0,"Com restrição","Sem restrição"))</f>
        <v/>
      </c>
      <c r="M476" s="13" t="str">
        <f t="shared" si="2"/>
        <v/>
      </c>
    </row>
    <row r="477" ht="15.75" customHeight="1">
      <c r="A477" s="11" t="str">
        <f t="shared" si="3"/>
        <v/>
      </c>
      <c r="B477" s="28"/>
      <c r="C477" s="11" t="str">
        <f t="shared" si="4"/>
        <v/>
      </c>
      <c r="D477" s="10"/>
      <c r="E477" s="19"/>
      <c r="F477" s="19"/>
      <c r="G477" s="10"/>
      <c r="H477" s="11" t="str">
        <f>IF(G477="","",IFERROR(VLOOKUP(G477,PROFESSORES!A:B,2,FALSE),""))</f>
        <v/>
      </c>
      <c r="I477" s="10"/>
      <c r="J477" s="10"/>
      <c r="K477" s="11" t="str">
        <f>IF(OR(G477="",C477="",E477="",F477="",I477=""),"",IF(AND((COUNTIFS(DISPONIBILIDADE!A:A,G477,DISPONIBILIDADE!C:C,C477,DISPONIBILIDADE!D:D,"&lt;="&amp;E477,DISPONIBILIDADE!E:E,"&gt;="&amp;F477,DISPONIBILIDADE!F:F,I477,DISPONIBILIDADE!G:G,"Sim")+COUNTIFS(DISPONIBILIDADE!A:A,G477,DISPONIBILIDADE!C:C,C477,DISPONIBILIDADE!D:D,"&lt;="&amp;E477,DISPONIBILIDADE!E:E,"&gt;="&amp;F477,DISPONIBILIDADE!F:F,"Ambas",DISPONIBILIDADE!G:G,"Sim"))&gt;0,COUNTIFS($G$3:$G$502,G477,$B$3:$B$502,B477,$E$3:$E$502,"&lt;"&amp;F477,$F$3:$F$502,"&gt;"&amp;E477,$A$3:$A$502,"&lt;&gt;"&amp;A477)=0),"Sim","Não"))</f>
        <v/>
      </c>
      <c r="L477" s="11" t="str">
        <f>IF(OR(G477="",D477=""),"",IF(COUNTIFS('RESTRIÇÕES'!A:A,G477,'RESTRIÇÕES'!C:C,D477,'RESTRIÇÕES'!F:F,"Sim")&gt;0,"Com restrição","Sem restrição"))</f>
        <v/>
      </c>
      <c r="M477" s="11" t="str">
        <f t="shared" si="2"/>
        <v/>
      </c>
    </row>
    <row r="478" ht="15.75" customHeight="1">
      <c r="A478" s="13" t="str">
        <f t="shared" si="3"/>
        <v/>
      </c>
      <c r="B478" s="27"/>
      <c r="C478" s="13" t="str">
        <f t="shared" si="4"/>
        <v/>
      </c>
      <c r="D478" s="12"/>
      <c r="E478" s="21"/>
      <c r="F478" s="21"/>
      <c r="G478" s="12"/>
      <c r="H478" s="13" t="str">
        <f>IF(G478="","",IFERROR(VLOOKUP(G478,PROFESSORES!A:B,2,FALSE),""))</f>
        <v/>
      </c>
      <c r="I478" s="12"/>
      <c r="J478" s="12"/>
      <c r="K478" s="13" t="str">
        <f>IF(OR(G478="",C478="",E478="",F478="",I478=""),"",IF(AND((COUNTIFS(DISPONIBILIDADE!A:A,G478,DISPONIBILIDADE!C:C,C478,DISPONIBILIDADE!D:D,"&lt;="&amp;E478,DISPONIBILIDADE!E:E,"&gt;="&amp;F478,DISPONIBILIDADE!F:F,I478,DISPONIBILIDADE!G:G,"Sim")+COUNTIFS(DISPONIBILIDADE!A:A,G478,DISPONIBILIDADE!C:C,C478,DISPONIBILIDADE!D:D,"&lt;="&amp;E478,DISPONIBILIDADE!E:E,"&gt;="&amp;F478,DISPONIBILIDADE!F:F,"Ambas",DISPONIBILIDADE!G:G,"Sim"))&gt;0,COUNTIFS($G$3:$G$502,G478,$B$3:$B$502,B478,$E$3:$E$502,"&lt;"&amp;F478,$F$3:$F$502,"&gt;"&amp;E478,$A$3:$A$502,"&lt;&gt;"&amp;A478)=0),"Sim","Não"))</f>
        <v/>
      </c>
      <c r="L478" s="13" t="str">
        <f>IF(OR(G478="",D478=""),"",IF(COUNTIFS('RESTRIÇÕES'!A:A,G478,'RESTRIÇÕES'!C:C,D478,'RESTRIÇÕES'!F:F,"Sim")&gt;0,"Com restrição","Sem restrição"))</f>
        <v/>
      </c>
      <c r="M478" s="13" t="str">
        <f t="shared" si="2"/>
        <v/>
      </c>
    </row>
    <row r="479" ht="15.75" customHeight="1">
      <c r="A479" s="11" t="str">
        <f t="shared" si="3"/>
        <v/>
      </c>
      <c r="B479" s="28"/>
      <c r="C479" s="11" t="str">
        <f t="shared" si="4"/>
        <v/>
      </c>
      <c r="D479" s="10"/>
      <c r="E479" s="19"/>
      <c r="F479" s="19"/>
      <c r="G479" s="10"/>
      <c r="H479" s="11" t="str">
        <f>IF(G479="","",IFERROR(VLOOKUP(G479,PROFESSORES!A:B,2,FALSE),""))</f>
        <v/>
      </c>
      <c r="I479" s="10"/>
      <c r="J479" s="10"/>
      <c r="K479" s="11" t="str">
        <f>IF(OR(G479="",C479="",E479="",F479="",I479=""),"",IF(AND((COUNTIFS(DISPONIBILIDADE!A:A,G479,DISPONIBILIDADE!C:C,C479,DISPONIBILIDADE!D:D,"&lt;="&amp;E479,DISPONIBILIDADE!E:E,"&gt;="&amp;F479,DISPONIBILIDADE!F:F,I479,DISPONIBILIDADE!G:G,"Sim")+COUNTIFS(DISPONIBILIDADE!A:A,G479,DISPONIBILIDADE!C:C,C479,DISPONIBILIDADE!D:D,"&lt;="&amp;E479,DISPONIBILIDADE!E:E,"&gt;="&amp;F479,DISPONIBILIDADE!F:F,"Ambas",DISPONIBILIDADE!G:G,"Sim"))&gt;0,COUNTIFS($G$3:$G$502,G479,$B$3:$B$502,B479,$E$3:$E$502,"&lt;"&amp;F479,$F$3:$F$502,"&gt;"&amp;E479,$A$3:$A$502,"&lt;&gt;"&amp;A479)=0),"Sim","Não"))</f>
        <v/>
      </c>
      <c r="L479" s="11" t="str">
        <f>IF(OR(G479="",D479=""),"",IF(COUNTIFS('RESTRIÇÕES'!A:A,G479,'RESTRIÇÕES'!C:C,D479,'RESTRIÇÕES'!F:F,"Sim")&gt;0,"Com restrição","Sem restrição"))</f>
        <v/>
      </c>
      <c r="M479" s="11" t="str">
        <f t="shared" si="2"/>
        <v/>
      </c>
    </row>
    <row r="480" ht="15.75" customHeight="1">
      <c r="A480" s="13" t="str">
        <f t="shared" si="3"/>
        <v/>
      </c>
      <c r="B480" s="27"/>
      <c r="C480" s="13" t="str">
        <f t="shared" si="4"/>
        <v/>
      </c>
      <c r="D480" s="12"/>
      <c r="E480" s="21"/>
      <c r="F480" s="21"/>
      <c r="G480" s="12"/>
      <c r="H480" s="13" t="str">
        <f>IF(G480="","",IFERROR(VLOOKUP(G480,PROFESSORES!A:B,2,FALSE),""))</f>
        <v/>
      </c>
      <c r="I480" s="12"/>
      <c r="J480" s="12"/>
      <c r="K480" s="13" t="str">
        <f>IF(OR(G480="",C480="",E480="",F480="",I480=""),"",IF(AND((COUNTIFS(DISPONIBILIDADE!A:A,G480,DISPONIBILIDADE!C:C,C480,DISPONIBILIDADE!D:D,"&lt;="&amp;E480,DISPONIBILIDADE!E:E,"&gt;="&amp;F480,DISPONIBILIDADE!F:F,I480,DISPONIBILIDADE!G:G,"Sim")+COUNTIFS(DISPONIBILIDADE!A:A,G480,DISPONIBILIDADE!C:C,C480,DISPONIBILIDADE!D:D,"&lt;="&amp;E480,DISPONIBILIDADE!E:E,"&gt;="&amp;F480,DISPONIBILIDADE!F:F,"Ambas",DISPONIBILIDADE!G:G,"Sim"))&gt;0,COUNTIFS($G$3:$G$502,G480,$B$3:$B$502,B480,$E$3:$E$502,"&lt;"&amp;F480,$F$3:$F$502,"&gt;"&amp;E480,$A$3:$A$502,"&lt;&gt;"&amp;A480)=0),"Sim","Não"))</f>
        <v/>
      </c>
      <c r="L480" s="13" t="str">
        <f>IF(OR(G480="",D480=""),"",IF(COUNTIFS('RESTRIÇÕES'!A:A,G480,'RESTRIÇÕES'!C:C,D480,'RESTRIÇÕES'!F:F,"Sim")&gt;0,"Com restrição","Sem restrição"))</f>
        <v/>
      </c>
      <c r="M480" s="13" t="str">
        <f t="shared" si="2"/>
        <v/>
      </c>
    </row>
    <row r="481" ht="15.75" customHeight="1">
      <c r="A481" s="11" t="str">
        <f t="shared" si="3"/>
        <v/>
      </c>
      <c r="B481" s="28"/>
      <c r="C481" s="11" t="str">
        <f t="shared" si="4"/>
        <v/>
      </c>
      <c r="D481" s="10"/>
      <c r="E481" s="19"/>
      <c r="F481" s="19"/>
      <c r="G481" s="10"/>
      <c r="H481" s="11" t="str">
        <f>IF(G481="","",IFERROR(VLOOKUP(G481,PROFESSORES!A:B,2,FALSE),""))</f>
        <v/>
      </c>
      <c r="I481" s="10"/>
      <c r="J481" s="10"/>
      <c r="K481" s="11" t="str">
        <f>IF(OR(G481="",C481="",E481="",F481="",I481=""),"",IF(AND((COUNTIFS(DISPONIBILIDADE!A:A,G481,DISPONIBILIDADE!C:C,C481,DISPONIBILIDADE!D:D,"&lt;="&amp;E481,DISPONIBILIDADE!E:E,"&gt;="&amp;F481,DISPONIBILIDADE!F:F,I481,DISPONIBILIDADE!G:G,"Sim")+COUNTIFS(DISPONIBILIDADE!A:A,G481,DISPONIBILIDADE!C:C,C481,DISPONIBILIDADE!D:D,"&lt;="&amp;E481,DISPONIBILIDADE!E:E,"&gt;="&amp;F481,DISPONIBILIDADE!F:F,"Ambas",DISPONIBILIDADE!G:G,"Sim"))&gt;0,COUNTIFS($G$3:$G$502,G481,$B$3:$B$502,B481,$E$3:$E$502,"&lt;"&amp;F481,$F$3:$F$502,"&gt;"&amp;E481,$A$3:$A$502,"&lt;&gt;"&amp;A481)=0),"Sim","Não"))</f>
        <v/>
      </c>
      <c r="L481" s="11" t="str">
        <f>IF(OR(G481="",D481=""),"",IF(COUNTIFS('RESTRIÇÕES'!A:A,G481,'RESTRIÇÕES'!C:C,D481,'RESTRIÇÕES'!F:F,"Sim")&gt;0,"Com restrição","Sem restrição"))</f>
        <v/>
      </c>
      <c r="M481" s="11" t="str">
        <f t="shared" si="2"/>
        <v/>
      </c>
    </row>
    <row r="482" ht="15.75" customHeight="1">
      <c r="A482" s="13" t="str">
        <f t="shared" si="3"/>
        <v/>
      </c>
      <c r="B482" s="27"/>
      <c r="C482" s="13" t="str">
        <f t="shared" si="4"/>
        <v/>
      </c>
      <c r="D482" s="12"/>
      <c r="E482" s="21"/>
      <c r="F482" s="21"/>
      <c r="G482" s="12"/>
      <c r="H482" s="13" t="str">
        <f>IF(G482="","",IFERROR(VLOOKUP(G482,PROFESSORES!A:B,2,FALSE),""))</f>
        <v/>
      </c>
      <c r="I482" s="12"/>
      <c r="J482" s="12"/>
      <c r="K482" s="13" t="str">
        <f>IF(OR(G482="",C482="",E482="",F482="",I482=""),"",IF(AND((COUNTIFS(DISPONIBILIDADE!A:A,G482,DISPONIBILIDADE!C:C,C482,DISPONIBILIDADE!D:D,"&lt;="&amp;E482,DISPONIBILIDADE!E:E,"&gt;="&amp;F482,DISPONIBILIDADE!F:F,I482,DISPONIBILIDADE!G:G,"Sim")+COUNTIFS(DISPONIBILIDADE!A:A,G482,DISPONIBILIDADE!C:C,C482,DISPONIBILIDADE!D:D,"&lt;="&amp;E482,DISPONIBILIDADE!E:E,"&gt;="&amp;F482,DISPONIBILIDADE!F:F,"Ambas",DISPONIBILIDADE!G:G,"Sim"))&gt;0,COUNTIFS($G$3:$G$502,G482,$B$3:$B$502,B482,$E$3:$E$502,"&lt;"&amp;F482,$F$3:$F$502,"&gt;"&amp;E482,$A$3:$A$502,"&lt;&gt;"&amp;A482)=0),"Sim","Não"))</f>
        <v/>
      </c>
      <c r="L482" s="13" t="str">
        <f>IF(OR(G482="",D482=""),"",IF(COUNTIFS('RESTRIÇÕES'!A:A,G482,'RESTRIÇÕES'!C:C,D482,'RESTRIÇÕES'!F:F,"Sim")&gt;0,"Com restrição","Sem restrição"))</f>
        <v/>
      </c>
      <c r="M482" s="13" t="str">
        <f t="shared" si="2"/>
        <v/>
      </c>
    </row>
    <row r="483" ht="15.75" customHeight="1">
      <c r="A483" s="11" t="str">
        <f t="shared" si="3"/>
        <v/>
      </c>
      <c r="B483" s="28"/>
      <c r="C483" s="11" t="str">
        <f t="shared" si="4"/>
        <v/>
      </c>
      <c r="D483" s="10"/>
      <c r="E483" s="19"/>
      <c r="F483" s="19"/>
      <c r="G483" s="10"/>
      <c r="H483" s="11" t="str">
        <f>IF(G483="","",IFERROR(VLOOKUP(G483,PROFESSORES!A:B,2,FALSE),""))</f>
        <v/>
      </c>
      <c r="I483" s="10"/>
      <c r="J483" s="10"/>
      <c r="K483" s="11" t="str">
        <f>IF(OR(G483="",C483="",E483="",F483="",I483=""),"",IF(AND((COUNTIFS(DISPONIBILIDADE!A:A,G483,DISPONIBILIDADE!C:C,C483,DISPONIBILIDADE!D:D,"&lt;="&amp;E483,DISPONIBILIDADE!E:E,"&gt;="&amp;F483,DISPONIBILIDADE!F:F,I483,DISPONIBILIDADE!G:G,"Sim")+COUNTIFS(DISPONIBILIDADE!A:A,G483,DISPONIBILIDADE!C:C,C483,DISPONIBILIDADE!D:D,"&lt;="&amp;E483,DISPONIBILIDADE!E:E,"&gt;="&amp;F483,DISPONIBILIDADE!F:F,"Ambas",DISPONIBILIDADE!G:G,"Sim"))&gt;0,COUNTIFS($G$3:$G$502,G483,$B$3:$B$502,B483,$E$3:$E$502,"&lt;"&amp;F483,$F$3:$F$502,"&gt;"&amp;E483,$A$3:$A$502,"&lt;&gt;"&amp;A483)=0),"Sim","Não"))</f>
        <v/>
      </c>
      <c r="L483" s="11" t="str">
        <f>IF(OR(G483="",D483=""),"",IF(COUNTIFS('RESTRIÇÕES'!A:A,G483,'RESTRIÇÕES'!C:C,D483,'RESTRIÇÕES'!F:F,"Sim")&gt;0,"Com restrição","Sem restrição"))</f>
        <v/>
      </c>
      <c r="M483" s="11" t="str">
        <f t="shared" si="2"/>
        <v/>
      </c>
    </row>
    <row r="484" ht="15.75" customHeight="1">
      <c r="A484" s="13" t="str">
        <f t="shared" si="3"/>
        <v/>
      </c>
      <c r="B484" s="27"/>
      <c r="C484" s="13" t="str">
        <f t="shared" si="4"/>
        <v/>
      </c>
      <c r="D484" s="12"/>
      <c r="E484" s="21"/>
      <c r="F484" s="21"/>
      <c r="G484" s="12"/>
      <c r="H484" s="13" t="str">
        <f>IF(G484="","",IFERROR(VLOOKUP(G484,PROFESSORES!A:B,2,FALSE),""))</f>
        <v/>
      </c>
      <c r="I484" s="12"/>
      <c r="J484" s="12"/>
      <c r="K484" s="13" t="str">
        <f>IF(OR(G484="",C484="",E484="",F484="",I484=""),"",IF(AND((COUNTIFS(DISPONIBILIDADE!A:A,G484,DISPONIBILIDADE!C:C,C484,DISPONIBILIDADE!D:D,"&lt;="&amp;E484,DISPONIBILIDADE!E:E,"&gt;="&amp;F484,DISPONIBILIDADE!F:F,I484,DISPONIBILIDADE!G:G,"Sim")+COUNTIFS(DISPONIBILIDADE!A:A,G484,DISPONIBILIDADE!C:C,C484,DISPONIBILIDADE!D:D,"&lt;="&amp;E484,DISPONIBILIDADE!E:E,"&gt;="&amp;F484,DISPONIBILIDADE!F:F,"Ambas",DISPONIBILIDADE!G:G,"Sim"))&gt;0,COUNTIFS($G$3:$G$502,G484,$B$3:$B$502,B484,$E$3:$E$502,"&lt;"&amp;F484,$F$3:$F$502,"&gt;"&amp;E484,$A$3:$A$502,"&lt;&gt;"&amp;A484)=0),"Sim","Não"))</f>
        <v/>
      </c>
      <c r="L484" s="13" t="str">
        <f>IF(OR(G484="",D484=""),"",IF(COUNTIFS('RESTRIÇÕES'!A:A,G484,'RESTRIÇÕES'!C:C,D484,'RESTRIÇÕES'!F:F,"Sim")&gt;0,"Com restrição","Sem restrição"))</f>
        <v/>
      </c>
      <c r="M484" s="13" t="str">
        <f t="shared" si="2"/>
        <v/>
      </c>
    </row>
    <row r="485" ht="15.75" customHeight="1">
      <c r="A485" s="11" t="str">
        <f t="shared" si="3"/>
        <v/>
      </c>
      <c r="B485" s="28"/>
      <c r="C485" s="11" t="str">
        <f t="shared" si="4"/>
        <v/>
      </c>
      <c r="D485" s="10"/>
      <c r="E485" s="19"/>
      <c r="F485" s="19"/>
      <c r="G485" s="10"/>
      <c r="H485" s="11" t="str">
        <f>IF(G485="","",IFERROR(VLOOKUP(G485,PROFESSORES!A:B,2,FALSE),""))</f>
        <v/>
      </c>
      <c r="I485" s="10"/>
      <c r="J485" s="10"/>
      <c r="K485" s="11" t="str">
        <f>IF(OR(G485="",C485="",E485="",F485="",I485=""),"",IF(AND((COUNTIFS(DISPONIBILIDADE!A:A,G485,DISPONIBILIDADE!C:C,C485,DISPONIBILIDADE!D:D,"&lt;="&amp;E485,DISPONIBILIDADE!E:E,"&gt;="&amp;F485,DISPONIBILIDADE!F:F,I485,DISPONIBILIDADE!G:G,"Sim")+COUNTIFS(DISPONIBILIDADE!A:A,G485,DISPONIBILIDADE!C:C,C485,DISPONIBILIDADE!D:D,"&lt;="&amp;E485,DISPONIBILIDADE!E:E,"&gt;="&amp;F485,DISPONIBILIDADE!F:F,"Ambas",DISPONIBILIDADE!G:G,"Sim"))&gt;0,COUNTIFS($G$3:$G$502,G485,$B$3:$B$502,B485,$E$3:$E$502,"&lt;"&amp;F485,$F$3:$F$502,"&gt;"&amp;E485,$A$3:$A$502,"&lt;&gt;"&amp;A485)=0),"Sim","Não"))</f>
        <v/>
      </c>
      <c r="L485" s="11" t="str">
        <f>IF(OR(G485="",D485=""),"",IF(COUNTIFS('RESTRIÇÕES'!A:A,G485,'RESTRIÇÕES'!C:C,D485,'RESTRIÇÕES'!F:F,"Sim")&gt;0,"Com restrição","Sem restrição"))</f>
        <v/>
      </c>
      <c r="M485" s="11" t="str">
        <f t="shared" si="2"/>
        <v/>
      </c>
    </row>
    <row r="486" ht="15.75" customHeight="1">
      <c r="A486" s="13" t="str">
        <f t="shared" si="3"/>
        <v/>
      </c>
      <c r="B486" s="27"/>
      <c r="C486" s="13" t="str">
        <f t="shared" si="4"/>
        <v/>
      </c>
      <c r="D486" s="12"/>
      <c r="E486" s="21"/>
      <c r="F486" s="21"/>
      <c r="G486" s="12"/>
      <c r="H486" s="13" t="str">
        <f>IF(G486="","",IFERROR(VLOOKUP(G486,PROFESSORES!A:B,2,FALSE),""))</f>
        <v/>
      </c>
      <c r="I486" s="12"/>
      <c r="J486" s="12"/>
      <c r="K486" s="13" t="str">
        <f>IF(OR(G486="",C486="",E486="",F486="",I486=""),"",IF(AND((COUNTIFS(DISPONIBILIDADE!A:A,G486,DISPONIBILIDADE!C:C,C486,DISPONIBILIDADE!D:D,"&lt;="&amp;E486,DISPONIBILIDADE!E:E,"&gt;="&amp;F486,DISPONIBILIDADE!F:F,I486,DISPONIBILIDADE!G:G,"Sim")+COUNTIFS(DISPONIBILIDADE!A:A,G486,DISPONIBILIDADE!C:C,C486,DISPONIBILIDADE!D:D,"&lt;="&amp;E486,DISPONIBILIDADE!E:E,"&gt;="&amp;F486,DISPONIBILIDADE!F:F,"Ambas",DISPONIBILIDADE!G:G,"Sim"))&gt;0,COUNTIFS($G$3:$G$502,G486,$B$3:$B$502,B486,$E$3:$E$502,"&lt;"&amp;F486,$F$3:$F$502,"&gt;"&amp;E486,$A$3:$A$502,"&lt;&gt;"&amp;A486)=0),"Sim","Não"))</f>
        <v/>
      </c>
      <c r="L486" s="13" t="str">
        <f>IF(OR(G486="",D486=""),"",IF(COUNTIFS('RESTRIÇÕES'!A:A,G486,'RESTRIÇÕES'!C:C,D486,'RESTRIÇÕES'!F:F,"Sim")&gt;0,"Com restrição","Sem restrição"))</f>
        <v/>
      </c>
      <c r="M486" s="13" t="str">
        <f t="shared" si="2"/>
        <v/>
      </c>
    </row>
    <row r="487" ht="15.75" customHeight="1">
      <c r="A487" s="11" t="str">
        <f t="shared" si="3"/>
        <v/>
      </c>
      <c r="B487" s="28"/>
      <c r="C487" s="11" t="str">
        <f t="shared" si="4"/>
        <v/>
      </c>
      <c r="D487" s="10"/>
      <c r="E487" s="19"/>
      <c r="F487" s="19"/>
      <c r="G487" s="10"/>
      <c r="H487" s="11" t="str">
        <f>IF(G487="","",IFERROR(VLOOKUP(G487,PROFESSORES!A:B,2,FALSE),""))</f>
        <v/>
      </c>
      <c r="I487" s="10"/>
      <c r="J487" s="10"/>
      <c r="K487" s="11" t="str">
        <f>IF(OR(G487="",C487="",E487="",F487="",I487=""),"",IF(AND((COUNTIFS(DISPONIBILIDADE!A:A,G487,DISPONIBILIDADE!C:C,C487,DISPONIBILIDADE!D:D,"&lt;="&amp;E487,DISPONIBILIDADE!E:E,"&gt;="&amp;F487,DISPONIBILIDADE!F:F,I487,DISPONIBILIDADE!G:G,"Sim")+COUNTIFS(DISPONIBILIDADE!A:A,G487,DISPONIBILIDADE!C:C,C487,DISPONIBILIDADE!D:D,"&lt;="&amp;E487,DISPONIBILIDADE!E:E,"&gt;="&amp;F487,DISPONIBILIDADE!F:F,"Ambas",DISPONIBILIDADE!G:G,"Sim"))&gt;0,COUNTIFS($G$3:$G$502,G487,$B$3:$B$502,B487,$E$3:$E$502,"&lt;"&amp;F487,$F$3:$F$502,"&gt;"&amp;E487,$A$3:$A$502,"&lt;&gt;"&amp;A487)=0),"Sim","Não"))</f>
        <v/>
      </c>
      <c r="L487" s="11" t="str">
        <f>IF(OR(G487="",D487=""),"",IF(COUNTIFS('RESTRIÇÕES'!A:A,G487,'RESTRIÇÕES'!C:C,D487,'RESTRIÇÕES'!F:F,"Sim")&gt;0,"Com restrição","Sem restrição"))</f>
        <v/>
      </c>
      <c r="M487" s="11" t="str">
        <f t="shared" si="2"/>
        <v/>
      </c>
    </row>
    <row r="488" ht="15.75" customHeight="1">
      <c r="A488" s="13" t="str">
        <f t="shared" si="3"/>
        <v/>
      </c>
      <c r="B488" s="27"/>
      <c r="C488" s="13" t="str">
        <f t="shared" si="4"/>
        <v/>
      </c>
      <c r="D488" s="12"/>
      <c r="E488" s="21"/>
      <c r="F488" s="21"/>
      <c r="G488" s="12"/>
      <c r="H488" s="13" t="str">
        <f>IF(G488="","",IFERROR(VLOOKUP(G488,PROFESSORES!A:B,2,FALSE),""))</f>
        <v/>
      </c>
      <c r="I488" s="12"/>
      <c r="J488" s="12"/>
      <c r="K488" s="13" t="str">
        <f>IF(OR(G488="",C488="",E488="",F488="",I488=""),"",IF(AND((COUNTIFS(DISPONIBILIDADE!A:A,G488,DISPONIBILIDADE!C:C,C488,DISPONIBILIDADE!D:D,"&lt;="&amp;E488,DISPONIBILIDADE!E:E,"&gt;="&amp;F488,DISPONIBILIDADE!F:F,I488,DISPONIBILIDADE!G:G,"Sim")+COUNTIFS(DISPONIBILIDADE!A:A,G488,DISPONIBILIDADE!C:C,C488,DISPONIBILIDADE!D:D,"&lt;="&amp;E488,DISPONIBILIDADE!E:E,"&gt;="&amp;F488,DISPONIBILIDADE!F:F,"Ambas",DISPONIBILIDADE!G:G,"Sim"))&gt;0,COUNTIFS($G$3:$G$502,G488,$B$3:$B$502,B488,$E$3:$E$502,"&lt;"&amp;F488,$F$3:$F$502,"&gt;"&amp;E488,$A$3:$A$502,"&lt;&gt;"&amp;A488)=0),"Sim","Não"))</f>
        <v/>
      </c>
      <c r="L488" s="13" t="str">
        <f>IF(OR(G488="",D488=""),"",IF(COUNTIFS('RESTRIÇÕES'!A:A,G488,'RESTRIÇÕES'!C:C,D488,'RESTRIÇÕES'!F:F,"Sim")&gt;0,"Com restrição","Sem restrição"))</f>
        <v/>
      </c>
      <c r="M488" s="13" t="str">
        <f t="shared" si="2"/>
        <v/>
      </c>
    </row>
    <row r="489" ht="15.75" customHeight="1">
      <c r="A489" s="11" t="str">
        <f t="shared" si="3"/>
        <v/>
      </c>
      <c r="B489" s="28"/>
      <c r="C489" s="11" t="str">
        <f t="shared" si="4"/>
        <v/>
      </c>
      <c r="D489" s="10"/>
      <c r="E489" s="19"/>
      <c r="F489" s="19"/>
      <c r="G489" s="10"/>
      <c r="H489" s="11" t="str">
        <f>IF(G489="","",IFERROR(VLOOKUP(G489,PROFESSORES!A:B,2,FALSE),""))</f>
        <v/>
      </c>
      <c r="I489" s="10"/>
      <c r="J489" s="10"/>
      <c r="K489" s="11" t="str">
        <f>IF(OR(G489="",C489="",E489="",F489="",I489=""),"",IF(AND((COUNTIFS(DISPONIBILIDADE!A:A,G489,DISPONIBILIDADE!C:C,C489,DISPONIBILIDADE!D:D,"&lt;="&amp;E489,DISPONIBILIDADE!E:E,"&gt;="&amp;F489,DISPONIBILIDADE!F:F,I489,DISPONIBILIDADE!G:G,"Sim")+COUNTIFS(DISPONIBILIDADE!A:A,G489,DISPONIBILIDADE!C:C,C489,DISPONIBILIDADE!D:D,"&lt;="&amp;E489,DISPONIBILIDADE!E:E,"&gt;="&amp;F489,DISPONIBILIDADE!F:F,"Ambas",DISPONIBILIDADE!G:G,"Sim"))&gt;0,COUNTIFS($G$3:$G$502,G489,$B$3:$B$502,B489,$E$3:$E$502,"&lt;"&amp;F489,$F$3:$F$502,"&gt;"&amp;E489,$A$3:$A$502,"&lt;&gt;"&amp;A489)=0),"Sim","Não"))</f>
        <v/>
      </c>
      <c r="L489" s="11" t="str">
        <f>IF(OR(G489="",D489=""),"",IF(COUNTIFS('RESTRIÇÕES'!A:A,G489,'RESTRIÇÕES'!C:C,D489,'RESTRIÇÕES'!F:F,"Sim")&gt;0,"Com restrição","Sem restrição"))</f>
        <v/>
      </c>
      <c r="M489" s="11" t="str">
        <f t="shared" si="2"/>
        <v/>
      </c>
    </row>
    <row r="490" ht="15.75" customHeight="1">
      <c r="A490" s="13" t="str">
        <f t="shared" si="3"/>
        <v/>
      </c>
      <c r="B490" s="27"/>
      <c r="C490" s="13" t="str">
        <f t="shared" si="4"/>
        <v/>
      </c>
      <c r="D490" s="12"/>
      <c r="E490" s="21"/>
      <c r="F490" s="21"/>
      <c r="G490" s="12"/>
      <c r="H490" s="13" t="str">
        <f>IF(G490="","",IFERROR(VLOOKUP(G490,PROFESSORES!A:B,2,FALSE),""))</f>
        <v/>
      </c>
      <c r="I490" s="12"/>
      <c r="J490" s="12"/>
      <c r="K490" s="13" t="str">
        <f>IF(OR(G490="",C490="",E490="",F490="",I490=""),"",IF(AND((COUNTIFS(DISPONIBILIDADE!A:A,G490,DISPONIBILIDADE!C:C,C490,DISPONIBILIDADE!D:D,"&lt;="&amp;E490,DISPONIBILIDADE!E:E,"&gt;="&amp;F490,DISPONIBILIDADE!F:F,I490,DISPONIBILIDADE!G:G,"Sim")+COUNTIFS(DISPONIBILIDADE!A:A,G490,DISPONIBILIDADE!C:C,C490,DISPONIBILIDADE!D:D,"&lt;="&amp;E490,DISPONIBILIDADE!E:E,"&gt;="&amp;F490,DISPONIBILIDADE!F:F,"Ambas",DISPONIBILIDADE!G:G,"Sim"))&gt;0,COUNTIFS($G$3:$G$502,G490,$B$3:$B$502,B490,$E$3:$E$502,"&lt;"&amp;F490,$F$3:$F$502,"&gt;"&amp;E490,$A$3:$A$502,"&lt;&gt;"&amp;A490)=0),"Sim","Não"))</f>
        <v/>
      </c>
      <c r="L490" s="13" t="str">
        <f>IF(OR(G490="",D490=""),"",IF(COUNTIFS('RESTRIÇÕES'!A:A,G490,'RESTRIÇÕES'!C:C,D490,'RESTRIÇÕES'!F:F,"Sim")&gt;0,"Com restrição","Sem restrição"))</f>
        <v/>
      </c>
      <c r="M490" s="13" t="str">
        <f t="shared" si="2"/>
        <v/>
      </c>
    </row>
    <row r="491" ht="15.75" customHeight="1">
      <c r="A491" s="11" t="str">
        <f t="shared" si="3"/>
        <v/>
      </c>
      <c r="B491" s="28"/>
      <c r="C491" s="11" t="str">
        <f t="shared" si="4"/>
        <v/>
      </c>
      <c r="D491" s="10"/>
      <c r="E491" s="19"/>
      <c r="F491" s="19"/>
      <c r="G491" s="10"/>
      <c r="H491" s="11" t="str">
        <f>IF(G491="","",IFERROR(VLOOKUP(G491,PROFESSORES!A:B,2,FALSE),""))</f>
        <v/>
      </c>
      <c r="I491" s="10"/>
      <c r="J491" s="10"/>
      <c r="K491" s="11" t="str">
        <f>IF(OR(G491="",C491="",E491="",F491="",I491=""),"",IF(AND((COUNTIFS(DISPONIBILIDADE!A:A,G491,DISPONIBILIDADE!C:C,C491,DISPONIBILIDADE!D:D,"&lt;="&amp;E491,DISPONIBILIDADE!E:E,"&gt;="&amp;F491,DISPONIBILIDADE!F:F,I491,DISPONIBILIDADE!G:G,"Sim")+COUNTIFS(DISPONIBILIDADE!A:A,G491,DISPONIBILIDADE!C:C,C491,DISPONIBILIDADE!D:D,"&lt;="&amp;E491,DISPONIBILIDADE!E:E,"&gt;="&amp;F491,DISPONIBILIDADE!F:F,"Ambas",DISPONIBILIDADE!G:G,"Sim"))&gt;0,COUNTIFS($G$3:$G$502,G491,$B$3:$B$502,B491,$E$3:$E$502,"&lt;"&amp;F491,$F$3:$F$502,"&gt;"&amp;E491,$A$3:$A$502,"&lt;&gt;"&amp;A491)=0),"Sim","Não"))</f>
        <v/>
      </c>
      <c r="L491" s="11" t="str">
        <f>IF(OR(G491="",D491=""),"",IF(COUNTIFS('RESTRIÇÕES'!A:A,G491,'RESTRIÇÕES'!C:C,D491,'RESTRIÇÕES'!F:F,"Sim")&gt;0,"Com restrição","Sem restrição"))</f>
        <v/>
      </c>
      <c r="M491" s="11" t="str">
        <f t="shared" si="2"/>
        <v/>
      </c>
    </row>
    <row r="492" ht="15.75" customHeight="1">
      <c r="A492" s="13" t="str">
        <f t="shared" si="3"/>
        <v/>
      </c>
      <c r="B492" s="27"/>
      <c r="C492" s="13" t="str">
        <f t="shared" si="4"/>
        <v/>
      </c>
      <c r="D492" s="12"/>
      <c r="E492" s="21"/>
      <c r="F492" s="21"/>
      <c r="G492" s="12"/>
      <c r="H492" s="13" t="str">
        <f>IF(G492="","",IFERROR(VLOOKUP(G492,PROFESSORES!A:B,2,FALSE),""))</f>
        <v/>
      </c>
      <c r="I492" s="12"/>
      <c r="J492" s="12"/>
      <c r="K492" s="13" t="str">
        <f>IF(OR(G492="",C492="",E492="",F492="",I492=""),"",IF(AND((COUNTIFS(DISPONIBILIDADE!A:A,G492,DISPONIBILIDADE!C:C,C492,DISPONIBILIDADE!D:D,"&lt;="&amp;E492,DISPONIBILIDADE!E:E,"&gt;="&amp;F492,DISPONIBILIDADE!F:F,I492,DISPONIBILIDADE!G:G,"Sim")+COUNTIFS(DISPONIBILIDADE!A:A,G492,DISPONIBILIDADE!C:C,C492,DISPONIBILIDADE!D:D,"&lt;="&amp;E492,DISPONIBILIDADE!E:E,"&gt;="&amp;F492,DISPONIBILIDADE!F:F,"Ambas",DISPONIBILIDADE!G:G,"Sim"))&gt;0,COUNTIFS($G$3:$G$502,G492,$B$3:$B$502,B492,$E$3:$E$502,"&lt;"&amp;F492,$F$3:$F$502,"&gt;"&amp;E492,$A$3:$A$502,"&lt;&gt;"&amp;A492)=0),"Sim","Não"))</f>
        <v/>
      </c>
      <c r="L492" s="13" t="str">
        <f>IF(OR(G492="",D492=""),"",IF(COUNTIFS('RESTRIÇÕES'!A:A,G492,'RESTRIÇÕES'!C:C,D492,'RESTRIÇÕES'!F:F,"Sim")&gt;0,"Com restrição","Sem restrição"))</f>
        <v/>
      </c>
      <c r="M492" s="13" t="str">
        <f t="shared" si="2"/>
        <v/>
      </c>
    </row>
    <row r="493" ht="15.75" customHeight="1">
      <c r="A493" s="11" t="str">
        <f t="shared" si="3"/>
        <v/>
      </c>
      <c r="B493" s="28"/>
      <c r="C493" s="11" t="str">
        <f t="shared" si="4"/>
        <v/>
      </c>
      <c r="D493" s="10"/>
      <c r="E493" s="19"/>
      <c r="F493" s="19"/>
      <c r="G493" s="10"/>
      <c r="H493" s="11" t="str">
        <f>IF(G493="","",IFERROR(VLOOKUP(G493,PROFESSORES!A:B,2,FALSE),""))</f>
        <v/>
      </c>
      <c r="I493" s="10"/>
      <c r="J493" s="10"/>
      <c r="K493" s="11" t="str">
        <f>IF(OR(G493="",C493="",E493="",F493="",I493=""),"",IF(AND((COUNTIFS(DISPONIBILIDADE!A:A,G493,DISPONIBILIDADE!C:C,C493,DISPONIBILIDADE!D:D,"&lt;="&amp;E493,DISPONIBILIDADE!E:E,"&gt;="&amp;F493,DISPONIBILIDADE!F:F,I493,DISPONIBILIDADE!G:G,"Sim")+COUNTIFS(DISPONIBILIDADE!A:A,G493,DISPONIBILIDADE!C:C,C493,DISPONIBILIDADE!D:D,"&lt;="&amp;E493,DISPONIBILIDADE!E:E,"&gt;="&amp;F493,DISPONIBILIDADE!F:F,"Ambas",DISPONIBILIDADE!G:G,"Sim"))&gt;0,COUNTIFS($G$3:$G$502,G493,$B$3:$B$502,B493,$E$3:$E$502,"&lt;"&amp;F493,$F$3:$F$502,"&gt;"&amp;E493,$A$3:$A$502,"&lt;&gt;"&amp;A493)=0),"Sim","Não"))</f>
        <v/>
      </c>
      <c r="L493" s="11" t="str">
        <f>IF(OR(G493="",D493=""),"",IF(COUNTIFS('RESTRIÇÕES'!A:A,G493,'RESTRIÇÕES'!C:C,D493,'RESTRIÇÕES'!F:F,"Sim")&gt;0,"Com restrição","Sem restrição"))</f>
        <v/>
      </c>
      <c r="M493" s="11" t="str">
        <f t="shared" si="2"/>
        <v/>
      </c>
    </row>
    <row r="494" ht="15.75" customHeight="1">
      <c r="A494" s="13" t="str">
        <f t="shared" si="3"/>
        <v/>
      </c>
      <c r="B494" s="27"/>
      <c r="C494" s="13" t="str">
        <f t="shared" si="4"/>
        <v/>
      </c>
      <c r="D494" s="12"/>
      <c r="E494" s="21"/>
      <c r="F494" s="21"/>
      <c r="G494" s="12"/>
      <c r="H494" s="13" t="str">
        <f>IF(G494="","",IFERROR(VLOOKUP(G494,PROFESSORES!A:B,2,FALSE),""))</f>
        <v/>
      </c>
      <c r="I494" s="12"/>
      <c r="J494" s="12"/>
      <c r="K494" s="13" t="str">
        <f>IF(OR(G494="",C494="",E494="",F494="",I494=""),"",IF(AND((COUNTIFS(DISPONIBILIDADE!A:A,G494,DISPONIBILIDADE!C:C,C494,DISPONIBILIDADE!D:D,"&lt;="&amp;E494,DISPONIBILIDADE!E:E,"&gt;="&amp;F494,DISPONIBILIDADE!F:F,I494,DISPONIBILIDADE!G:G,"Sim")+COUNTIFS(DISPONIBILIDADE!A:A,G494,DISPONIBILIDADE!C:C,C494,DISPONIBILIDADE!D:D,"&lt;="&amp;E494,DISPONIBILIDADE!E:E,"&gt;="&amp;F494,DISPONIBILIDADE!F:F,"Ambas",DISPONIBILIDADE!G:G,"Sim"))&gt;0,COUNTIFS($G$3:$G$502,G494,$B$3:$B$502,B494,$E$3:$E$502,"&lt;"&amp;F494,$F$3:$F$502,"&gt;"&amp;E494,$A$3:$A$502,"&lt;&gt;"&amp;A494)=0),"Sim","Não"))</f>
        <v/>
      </c>
      <c r="L494" s="13" t="str">
        <f>IF(OR(G494="",D494=""),"",IF(COUNTIFS('RESTRIÇÕES'!A:A,G494,'RESTRIÇÕES'!C:C,D494,'RESTRIÇÕES'!F:F,"Sim")&gt;0,"Com restrição","Sem restrição"))</f>
        <v/>
      </c>
      <c r="M494" s="13" t="str">
        <f t="shared" si="2"/>
        <v/>
      </c>
    </row>
    <row r="495" ht="15.75" customHeight="1">
      <c r="A495" s="11" t="str">
        <f t="shared" si="3"/>
        <v/>
      </c>
      <c r="B495" s="28"/>
      <c r="C495" s="11" t="str">
        <f t="shared" si="4"/>
        <v/>
      </c>
      <c r="D495" s="10"/>
      <c r="E495" s="19"/>
      <c r="F495" s="19"/>
      <c r="G495" s="10"/>
      <c r="H495" s="11" t="str">
        <f>IF(G495="","",IFERROR(VLOOKUP(G495,PROFESSORES!A:B,2,FALSE),""))</f>
        <v/>
      </c>
      <c r="I495" s="10"/>
      <c r="J495" s="10"/>
      <c r="K495" s="11" t="str">
        <f>IF(OR(G495="",C495="",E495="",F495="",I495=""),"",IF(AND((COUNTIFS(DISPONIBILIDADE!A:A,G495,DISPONIBILIDADE!C:C,C495,DISPONIBILIDADE!D:D,"&lt;="&amp;E495,DISPONIBILIDADE!E:E,"&gt;="&amp;F495,DISPONIBILIDADE!F:F,I495,DISPONIBILIDADE!G:G,"Sim")+COUNTIFS(DISPONIBILIDADE!A:A,G495,DISPONIBILIDADE!C:C,C495,DISPONIBILIDADE!D:D,"&lt;="&amp;E495,DISPONIBILIDADE!E:E,"&gt;="&amp;F495,DISPONIBILIDADE!F:F,"Ambas",DISPONIBILIDADE!G:G,"Sim"))&gt;0,COUNTIFS($G$3:$G$502,G495,$B$3:$B$502,B495,$E$3:$E$502,"&lt;"&amp;F495,$F$3:$F$502,"&gt;"&amp;E495,$A$3:$A$502,"&lt;&gt;"&amp;A495)=0),"Sim","Não"))</f>
        <v/>
      </c>
      <c r="L495" s="11" t="str">
        <f>IF(OR(G495="",D495=""),"",IF(COUNTIFS('RESTRIÇÕES'!A:A,G495,'RESTRIÇÕES'!C:C,D495,'RESTRIÇÕES'!F:F,"Sim")&gt;0,"Com restrição","Sem restrição"))</f>
        <v/>
      </c>
      <c r="M495" s="11" t="str">
        <f t="shared" si="2"/>
        <v/>
      </c>
    </row>
    <row r="496" ht="15.75" customHeight="1">
      <c r="A496" s="13" t="str">
        <f t="shared" si="3"/>
        <v/>
      </c>
      <c r="B496" s="27"/>
      <c r="C496" s="13" t="str">
        <f t="shared" si="4"/>
        <v/>
      </c>
      <c r="D496" s="12"/>
      <c r="E496" s="21"/>
      <c r="F496" s="21"/>
      <c r="G496" s="12"/>
      <c r="H496" s="13" t="str">
        <f>IF(G496="","",IFERROR(VLOOKUP(G496,PROFESSORES!A:B,2,FALSE),""))</f>
        <v/>
      </c>
      <c r="I496" s="12"/>
      <c r="J496" s="12"/>
      <c r="K496" s="13" t="str">
        <f>IF(OR(G496="",C496="",E496="",F496="",I496=""),"",IF(AND((COUNTIFS(DISPONIBILIDADE!A:A,G496,DISPONIBILIDADE!C:C,C496,DISPONIBILIDADE!D:D,"&lt;="&amp;E496,DISPONIBILIDADE!E:E,"&gt;="&amp;F496,DISPONIBILIDADE!F:F,I496,DISPONIBILIDADE!G:G,"Sim")+COUNTIFS(DISPONIBILIDADE!A:A,G496,DISPONIBILIDADE!C:C,C496,DISPONIBILIDADE!D:D,"&lt;="&amp;E496,DISPONIBILIDADE!E:E,"&gt;="&amp;F496,DISPONIBILIDADE!F:F,"Ambas",DISPONIBILIDADE!G:G,"Sim"))&gt;0,COUNTIFS($G$3:$G$502,G496,$B$3:$B$502,B496,$E$3:$E$502,"&lt;"&amp;F496,$F$3:$F$502,"&gt;"&amp;E496,$A$3:$A$502,"&lt;&gt;"&amp;A496)=0),"Sim","Não"))</f>
        <v/>
      </c>
      <c r="L496" s="13" t="str">
        <f>IF(OR(G496="",D496=""),"",IF(COUNTIFS('RESTRIÇÕES'!A:A,G496,'RESTRIÇÕES'!C:C,D496,'RESTRIÇÕES'!F:F,"Sim")&gt;0,"Com restrição","Sem restrição"))</f>
        <v/>
      </c>
      <c r="M496" s="13" t="str">
        <f t="shared" si="2"/>
        <v/>
      </c>
    </row>
    <row r="497" ht="15.75" customHeight="1">
      <c r="A497" s="11" t="str">
        <f t="shared" si="3"/>
        <v/>
      </c>
      <c r="B497" s="28"/>
      <c r="C497" s="11" t="str">
        <f t="shared" si="4"/>
        <v/>
      </c>
      <c r="D497" s="10"/>
      <c r="E497" s="19"/>
      <c r="F497" s="19"/>
      <c r="G497" s="10"/>
      <c r="H497" s="11" t="str">
        <f>IF(G497="","",IFERROR(VLOOKUP(G497,PROFESSORES!A:B,2,FALSE),""))</f>
        <v/>
      </c>
      <c r="I497" s="10"/>
      <c r="J497" s="10"/>
      <c r="K497" s="11" t="str">
        <f>IF(OR(G497="",C497="",E497="",F497="",I497=""),"",IF(AND((COUNTIFS(DISPONIBILIDADE!A:A,G497,DISPONIBILIDADE!C:C,C497,DISPONIBILIDADE!D:D,"&lt;="&amp;E497,DISPONIBILIDADE!E:E,"&gt;="&amp;F497,DISPONIBILIDADE!F:F,I497,DISPONIBILIDADE!G:G,"Sim")+COUNTIFS(DISPONIBILIDADE!A:A,G497,DISPONIBILIDADE!C:C,C497,DISPONIBILIDADE!D:D,"&lt;="&amp;E497,DISPONIBILIDADE!E:E,"&gt;="&amp;F497,DISPONIBILIDADE!F:F,"Ambas",DISPONIBILIDADE!G:G,"Sim"))&gt;0,COUNTIFS($G$3:$G$502,G497,$B$3:$B$502,B497,$E$3:$E$502,"&lt;"&amp;F497,$F$3:$F$502,"&gt;"&amp;E497,$A$3:$A$502,"&lt;&gt;"&amp;A497)=0),"Sim","Não"))</f>
        <v/>
      </c>
      <c r="L497" s="11" t="str">
        <f>IF(OR(G497="",D497=""),"",IF(COUNTIFS('RESTRIÇÕES'!A:A,G497,'RESTRIÇÕES'!C:C,D497,'RESTRIÇÕES'!F:F,"Sim")&gt;0,"Com restrição","Sem restrição"))</f>
        <v/>
      </c>
      <c r="M497" s="11" t="str">
        <f t="shared" si="2"/>
        <v/>
      </c>
    </row>
    <row r="498" ht="15.75" customHeight="1">
      <c r="A498" s="13" t="str">
        <f t="shared" si="3"/>
        <v/>
      </c>
      <c r="B498" s="27"/>
      <c r="C498" s="13" t="str">
        <f t="shared" si="4"/>
        <v/>
      </c>
      <c r="D498" s="12"/>
      <c r="E498" s="21"/>
      <c r="F498" s="21"/>
      <c r="G498" s="12"/>
      <c r="H498" s="13" t="str">
        <f>IF(G498="","",IFERROR(VLOOKUP(G498,PROFESSORES!A:B,2,FALSE),""))</f>
        <v/>
      </c>
      <c r="I498" s="12"/>
      <c r="J498" s="12"/>
      <c r="K498" s="13" t="str">
        <f>IF(OR(G498="",C498="",E498="",F498="",I498=""),"",IF(AND((COUNTIFS(DISPONIBILIDADE!A:A,G498,DISPONIBILIDADE!C:C,C498,DISPONIBILIDADE!D:D,"&lt;="&amp;E498,DISPONIBILIDADE!E:E,"&gt;="&amp;F498,DISPONIBILIDADE!F:F,I498,DISPONIBILIDADE!G:G,"Sim")+COUNTIFS(DISPONIBILIDADE!A:A,G498,DISPONIBILIDADE!C:C,C498,DISPONIBILIDADE!D:D,"&lt;="&amp;E498,DISPONIBILIDADE!E:E,"&gt;="&amp;F498,DISPONIBILIDADE!F:F,"Ambas",DISPONIBILIDADE!G:G,"Sim"))&gt;0,COUNTIFS($G$3:$G$502,G498,$B$3:$B$502,B498,$E$3:$E$502,"&lt;"&amp;F498,$F$3:$F$502,"&gt;"&amp;E498,$A$3:$A$502,"&lt;&gt;"&amp;A498)=0),"Sim","Não"))</f>
        <v/>
      </c>
      <c r="L498" s="13" t="str">
        <f>IF(OR(G498="",D498=""),"",IF(COUNTIFS('RESTRIÇÕES'!A:A,G498,'RESTRIÇÕES'!C:C,D498,'RESTRIÇÕES'!F:F,"Sim")&gt;0,"Com restrição","Sem restrição"))</f>
        <v/>
      </c>
      <c r="M498" s="13" t="str">
        <f t="shared" si="2"/>
        <v/>
      </c>
    </row>
    <row r="499" ht="15.75" customHeight="1">
      <c r="A499" s="11" t="str">
        <f t="shared" si="3"/>
        <v/>
      </c>
      <c r="B499" s="28"/>
      <c r="C499" s="11" t="str">
        <f t="shared" si="4"/>
        <v/>
      </c>
      <c r="D499" s="10"/>
      <c r="E499" s="19"/>
      <c r="F499" s="19"/>
      <c r="G499" s="10"/>
      <c r="H499" s="11" t="str">
        <f>IF(G499="","",IFERROR(VLOOKUP(G499,PROFESSORES!A:B,2,FALSE),""))</f>
        <v/>
      </c>
      <c r="I499" s="10"/>
      <c r="J499" s="10"/>
      <c r="K499" s="11" t="str">
        <f>IF(OR(G499="",C499="",E499="",F499="",I499=""),"",IF(AND((COUNTIFS(DISPONIBILIDADE!A:A,G499,DISPONIBILIDADE!C:C,C499,DISPONIBILIDADE!D:D,"&lt;="&amp;E499,DISPONIBILIDADE!E:E,"&gt;="&amp;F499,DISPONIBILIDADE!F:F,I499,DISPONIBILIDADE!G:G,"Sim")+COUNTIFS(DISPONIBILIDADE!A:A,G499,DISPONIBILIDADE!C:C,C499,DISPONIBILIDADE!D:D,"&lt;="&amp;E499,DISPONIBILIDADE!E:E,"&gt;="&amp;F499,DISPONIBILIDADE!F:F,"Ambas",DISPONIBILIDADE!G:G,"Sim"))&gt;0,COUNTIFS($G$3:$G$502,G499,$B$3:$B$502,B499,$E$3:$E$502,"&lt;"&amp;F499,$F$3:$F$502,"&gt;"&amp;E499,$A$3:$A$502,"&lt;&gt;"&amp;A499)=0),"Sim","Não"))</f>
        <v/>
      </c>
      <c r="L499" s="11" t="str">
        <f>IF(OR(G499="",D499=""),"",IF(COUNTIFS('RESTRIÇÕES'!A:A,G499,'RESTRIÇÕES'!C:C,D499,'RESTRIÇÕES'!F:F,"Sim")&gt;0,"Com restrição","Sem restrição"))</f>
        <v/>
      </c>
      <c r="M499" s="11" t="str">
        <f t="shared" si="2"/>
        <v/>
      </c>
    </row>
    <row r="500" ht="15.75" customHeight="1">
      <c r="A500" s="13" t="str">
        <f t="shared" si="3"/>
        <v/>
      </c>
      <c r="B500" s="27"/>
      <c r="C500" s="13" t="str">
        <f t="shared" si="4"/>
        <v/>
      </c>
      <c r="D500" s="12"/>
      <c r="E500" s="21"/>
      <c r="F500" s="21"/>
      <c r="G500" s="12"/>
      <c r="H500" s="13" t="str">
        <f>IF(G500="","",IFERROR(VLOOKUP(G500,PROFESSORES!A:B,2,FALSE),""))</f>
        <v/>
      </c>
      <c r="I500" s="12"/>
      <c r="J500" s="12"/>
      <c r="K500" s="13" t="str">
        <f>IF(OR(G500="",C500="",E500="",F500="",I500=""),"",IF(AND((COUNTIFS(DISPONIBILIDADE!A:A,G500,DISPONIBILIDADE!C:C,C500,DISPONIBILIDADE!D:D,"&lt;="&amp;E500,DISPONIBILIDADE!E:E,"&gt;="&amp;F500,DISPONIBILIDADE!F:F,I500,DISPONIBILIDADE!G:G,"Sim")+COUNTIFS(DISPONIBILIDADE!A:A,G500,DISPONIBILIDADE!C:C,C500,DISPONIBILIDADE!D:D,"&lt;="&amp;E500,DISPONIBILIDADE!E:E,"&gt;="&amp;F500,DISPONIBILIDADE!F:F,"Ambas",DISPONIBILIDADE!G:G,"Sim"))&gt;0,COUNTIFS($G$3:$G$502,G500,$B$3:$B$502,B500,$E$3:$E$502,"&lt;"&amp;F500,$F$3:$F$502,"&gt;"&amp;E500,$A$3:$A$502,"&lt;&gt;"&amp;A500)=0),"Sim","Não"))</f>
        <v/>
      </c>
      <c r="L500" s="13" t="str">
        <f>IF(OR(G500="",D500=""),"",IF(COUNTIFS('RESTRIÇÕES'!A:A,G500,'RESTRIÇÕES'!C:C,D500,'RESTRIÇÕES'!F:F,"Sim")&gt;0,"Com restrição","Sem restrição"))</f>
        <v/>
      </c>
      <c r="M500" s="13" t="str">
        <f t="shared" si="2"/>
        <v/>
      </c>
    </row>
    <row r="501" ht="15.75" customHeight="1">
      <c r="A501" s="11" t="str">
        <f t="shared" si="3"/>
        <v/>
      </c>
      <c r="B501" s="28"/>
      <c r="C501" s="11" t="str">
        <f t="shared" si="4"/>
        <v/>
      </c>
      <c r="D501" s="10"/>
      <c r="E501" s="19"/>
      <c r="F501" s="19"/>
      <c r="G501" s="10"/>
      <c r="H501" s="11" t="str">
        <f>IF(G501="","",IFERROR(VLOOKUP(G501,PROFESSORES!A:B,2,FALSE),""))</f>
        <v/>
      </c>
      <c r="I501" s="10"/>
      <c r="J501" s="10"/>
      <c r="K501" s="11" t="str">
        <f>IF(OR(G501="",C501="",E501="",F501="",I501=""),"",IF(AND((COUNTIFS(DISPONIBILIDADE!A:A,G501,DISPONIBILIDADE!C:C,C501,DISPONIBILIDADE!D:D,"&lt;="&amp;E501,DISPONIBILIDADE!E:E,"&gt;="&amp;F501,DISPONIBILIDADE!F:F,I501,DISPONIBILIDADE!G:G,"Sim")+COUNTIFS(DISPONIBILIDADE!A:A,G501,DISPONIBILIDADE!C:C,C501,DISPONIBILIDADE!D:D,"&lt;="&amp;E501,DISPONIBILIDADE!E:E,"&gt;="&amp;F501,DISPONIBILIDADE!F:F,"Ambas",DISPONIBILIDADE!G:G,"Sim"))&gt;0,COUNTIFS($G$3:$G$502,G501,$B$3:$B$502,B501,$E$3:$E$502,"&lt;"&amp;F501,$F$3:$F$502,"&gt;"&amp;E501,$A$3:$A$502,"&lt;&gt;"&amp;A501)=0),"Sim","Não"))</f>
        <v/>
      </c>
      <c r="L501" s="11" t="str">
        <f>IF(OR(G501="",D501=""),"",IF(COUNTIFS('RESTRIÇÕES'!A:A,G501,'RESTRIÇÕES'!C:C,D501,'RESTRIÇÕES'!F:F,"Sim")&gt;0,"Com restrição","Sem restrição"))</f>
        <v/>
      </c>
      <c r="M501" s="11" t="str">
        <f t="shared" si="2"/>
        <v/>
      </c>
    </row>
    <row r="502" ht="15.75" customHeight="1">
      <c r="A502" s="13" t="str">
        <f t="shared" si="3"/>
        <v/>
      </c>
      <c r="B502" s="27"/>
      <c r="C502" s="13" t="str">
        <f t="shared" si="4"/>
        <v/>
      </c>
      <c r="D502" s="12"/>
      <c r="E502" s="21"/>
      <c r="F502" s="21"/>
      <c r="G502" s="12"/>
      <c r="H502" s="13" t="str">
        <f>IF(G502="","",IFERROR(VLOOKUP(G502,PROFESSORES!A:B,2,FALSE),""))</f>
        <v/>
      </c>
      <c r="I502" s="12"/>
      <c r="J502" s="12"/>
      <c r="K502" s="13" t="str">
        <f>IF(OR(G502="",C502="",E502="",F502="",I502=""),"",IF(AND((COUNTIFS(DISPONIBILIDADE!A:A,G502,DISPONIBILIDADE!C:C,C502,DISPONIBILIDADE!D:D,"&lt;="&amp;E502,DISPONIBILIDADE!E:E,"&gt;="&amp;F502,DISPONIBILIDADE!F:F,I502,DISPONIBILIDADE!G:G,"Sim")+COUNTIFS(DISPONIBILIDADE!A:A,G502,DISPONIBILIDADE!C:C,C502,DISPONIBILIDADE!D:D,"&lt;="&amp;E502,DISPONIBILIDADE!E:E,"&gt;="&amp;F502,DISPONIBILIDADE!F:F,"Ambas",DISPONIBILIDADE!G:G,"Sim"))&gt;0,COUNTIFS($G$3:$G$502,G502,$B$3:$B$502,B502,$E$3:$E$502,"&lt;"&amp;F502,$F$3:$F$502,"&gt;"&amp;E502,$A$3:$A$502,"&lt;&gt;"&amp;A502)=0),"Sim","Não"))</f>
        <v/>
      </c>
      <c r="L502" s="13" t="str">
        <f>IF(OR(G502="",D502=""),"",IF(COUNTIFS('RESTRIÇÕES'!A:A,G502,'RESTRIÇÕES'!C:C,D502,'RESTRIÇÕES'!F:F,"Sim")&gt;0,"Com restrição","Sem restrição"))</f>
        <v/>
      </c>
      <c r="M502" s="13" t="str">
        <f t="shared" si="2"/>
        <v/>
      </c>
    </row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M$502"/>
  <mergeCells count="1">
    <mergeCell ref="A1:M1"/>
  </mergeCells>
  <conditionalFormatting sqref="M3:M502">
    <cfRule type="expression" dxfId="0" priority="1">
      <formula>$M3="OK"</formula>
    </cfRule>
  </conditionalFormatting>
  <conditionalFormatting sqref="M3:M502">
    <cfRule type="expression" dxfId="1" priority="2">
      <formula>$M3="REVISAR"</formula>
    </cfRule>
  </conditionalFormatting>
  <dataValidations>
    <dataValidation type="list" allowBlank="1" sqref="I3:I502">
      <formula1>"Presencial,Online"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12.0"/>
    <col customWidth="1" min="2" max="2" width="16.0"/>
    <col customWidth="1" min="3" max="3" width="24.0"/>
    <col customWidth="1" min="4" max="5" width="12.0"/>
    <col customWidth="1" min="6" max="6" width="14.0"/>
    <col customWidth="1" min="7" max="7" width="24.0"/>
    <col customWidth="1" min="8" max="8" width="14.0"/>
    <col customWidth="1" min="9" max="9" width="28.0"/>
    <col customWidth="1" min="10" max="26" width="8.71"/>
  </cols>
  <sheetData>
    <row r="1">
      <c r="A1" s="29" t="s">
        <v>23</v>
      </c>
      <c r="B1" s="2"/>
      <c r="C1" s="2"/>
      <c r="D1" s="2"/>
      <c r="E1" s="2"/>
      <c r="F1" s="2"/>
      <c r="G1" s="2"/>
      <c r="H1" s="2"/>
      <c r="I1" s="3"/>
    </row>
    <row r="2">
      <c r="A2" s="1" t="s">
        <v>24</v>
      </c>
      <c r="B2" s="2"/>
      <c r="C2" s="2"/>
      <c r="D2" s="2"/>
      <c r="E2" s="2"/>
      <c r="F2" s="2"/>
      <c r="G2" s="2"/>
      <c r="H2" s="2"/>
      <c r="I2" s="3"/>
    </row>
    <row r="4">
      <c r="A4" s="30" t="s">
        <v>20</v>
      </c>
      <c r="B4" s="31"/>
      <c r="D4" s="30" t="s">
        <v>1</v>
      </c>
      <c r="E4" s="32"/>
      <c r="G4" s="33" t="s">
        <v>25</v>
      </c>
      <c r="H4" s="34" t="str">
        <f>IF(E4="","",IFERROR(VLOOKUP(E4,PROFESSORES!A:B,2,FALSE),""))</f>
        <v/>
      </c>
    </row>
    <row r="5">
      <c r="A5" s="30" t="s">
        <v>26</v>
      </c>
      <c r="B5" s="34" t="str">
        <f>IF(OR(B4="",E4=""),"",COUNTIFS(AULAS!B:B,B4,AULAS!G:G,E4))</f>
        <v/>
      </c>
      <c r="D5" s="30" t="s">
        <v>27</v>
      </c>
      <c r="E5" s="34" t="str">
        <f>IF(B5="","",IF(B5=0,"Nenhuma aula encontrada","OK para imprimir"))</f>
        <v/>
      </c>
    </row>
    <row r="7">
      <c r="A7" s="35" t="s">
        <v>20</v>
      </c>
      <c r="B7" s="35" t="s">
        <v>8</v>
      </c>
      <c r="C7" s="35" t="s">
        <v>14</v>
      </c>
      <c r="D7" s="35" t="s">
        <v>9</v>
      </c>
      <c r="E7" s="35" t="s">
        <v>10</v>
      </c>
      <c r="F7" s="35" t="s">
        <v>1</v>
      </c>
      <c r="G7" s="35" t="s">
        <v>2</v>
      </c>
      <c r="H7" s="35" t="s">
        <v>11</v>
      </c>
      <c r="I7" s="35" t="s">
        <v>5</v>
      </c>
    </row>
    <row r="8">
      <c r="A8" s="36" t="str">
        <f>IFERROR(__xludf.DUMMYFUNCTION("IF(OR($B$4="""",$E$4=""""),"""",IFERROR(FILTER(AULAS!B3:J502,(TEXT(AULAS!B3:B502,""dd/mm/yyyy"")=TEXT($B$4,""dd/mm/yyyy""))*(AULAS!G3:G502=$E$4)),""Nenhuma aula encontrada""))"),"")</f>
        <v/>
      </c>
      <c r="D8" s="37"/>
      <c r="E8" s="37"/>
    </row>
    <row r="9">
      <c r="A9" s="36"/>
      <c r="D9" s="37"/>
      <c r="E9" s="37"/>
    </row>
    <row r="10">
      <c r="A10" s="36"/>
      <c r="D10" s="37"/>
      <c r="E10" s="37"/>
    </row>
    <row r="11">
      <c r="A11" s="36"/>
      <c r="D11" s="37"/>
      <c r="E11" s="37"/>
    </row>
    <row r="12">
      <c r="A12" s="36"/>
      <c r="D12" s="37"/>
      <c r="E12" s="37"/>
    </row>
    <row r="13">
      <c r="A13" s="36"/>
      <c r="D13" s="37"/>
      <c r="E13" s="37"/>
    </row>
    <row r="14">
      <c r="A14" s="36"/>
      <c r="D14" s="37"/>
      <c r="E14" s="37"/>
    </row>
    <row r="15">
      <c r="A15" s="36"/>
      <c r="D15" s="37"/>
      <c r="E15" s="37"/>
    </row>
    <row r="16">
      <c r="A16" s="36"/>
      <c r="D16" s="37"/>
      <c r="E16" s="37"/>
    </row>
    <row r="17">
      <c r="A17" s="36"/>
      <c r="D17" s="37"/>
      <c r="E17" s="37"/>
    </row>
    <row r="18">
      <c r="A18" s="36"/>
      <c r="D18" s="37"/>
      <c r="E18" s="37"/>
    </row>
    <row r="19">
      <c r="A19" s="36"/>
      <c r="D19" s="37"/>
      <c r="E19" s="37"/>
    </row>
    <row r="20">
      <c r="A20" s="36"/>
      <c r="D20" s="37"/>
      <c r="E20" s="37"/>
    </row>
    <row r="21" ht="15.75" customHeight="1">
      <c r="A21" s="36"/>
      <c r="D21" s="37"/>
      <c r="E21" s="37"/>
    </row>
    <row r="22" ht="15.75" customHeight="1">
      <c r="A22" s="36"/>
      <c r="D22" s="37"/>
      <c r="E22" s="37"/>
    </row>
    <row r="23" ht="15.75" customHeight="1">
      <c r="A23" s="36"/>
      <c r="D23" s="37"/>
      <c r="E23" s="37"/>
    </row>
    <row r="24" ht="15.75" customHeight="1">
      <c r="A24" s="36"/>
      <c r="D24" s="37"/>
      <c r="E24" s="37"/>
    </row>
    <row r="25" ht="15.75" customHeight="1">
      <c r="A25" s="36"/>
      <c r="D25" s="37"/>
      <c r="E25" s="37"/>
    </row>
    <row r="26" ht="15.75" customHeight="1">
      <c r="A26" s="36"/>
      <c r="D26" s="37"/>
      <c r="E26" s="37"/>
    </row>
    <row r="27" ht="15.75" customHeight="1">
      <c r="A27" s="36"/>
      <c r="D27" s="37"/>
      <c r="E27" s="37"/>
    </row>
    <row r="28" ht="15.75" customHeight="1">
      <c r="A28" s="36"/>
      <c r="D28" s="37"/>
      <c r="E28" s="37"/>
    </row>
    <row r="29" ht="15.75" customHeight="1">
      <c r="A29" s="36"/>
      <c r="D29" s="37"/>
      <c r="E29" s="37"/>
    </row>
    <row r="30" ht="15.75" customHeight="1">
      <c r="A30" s="36"/>
      <c r="D30" s="37"/>
      <c r="E30" s="37"/>
    </row>
    <row r="31" ht="15.75" customHeight="1">
      <c r="A31" s="36"/>
      <c r="D31" s="37"/>
      <c r="E31" s="37"/>
    </row>
    <row r="32" ht="15.75" customHeight="1">
      <c r="A32" s="36"/>
      <c r="D32" s="37"/>
      <c r="E32" s="37"/>
    </row>
    <row r="33" ht="15.75" customHeight="1">
      <c r="A33" s="36"/>
      <c r="D33" s="37"/>
      <c r="E33" s="37"/>
    </row>
    <row r="34" ht="15.75" customHeight="1">
      <c r="A34" s="36"/>
      <c r="D34" s="37"/>
      <c r="E34" s="37"/>
    </row>
    <row r="35" ht="15.75" customHeight="1">
      <c r="A35" s="36"/>
      <c r="D35" s="37"/>
      <c r="E35" s="37"/>
    </row>
    <row r="36" ht="15.75" customHeight="1">
      <c r="A36" s="36"/>
      <c r="D36" s="37"/>
      <c r="E36" s="37"/>
    </row>
    <row r="37" ht="15.75" customHeight="1">
      <c r="A37" s="36"/>
      <c r="D37" s="37"/>
      <c r="E37" s="37"/>
    </row>
    <row r="38" ht="15.75" customHeight="1">
      <c r="A38" s="36"/>
      <c r="D38" s="37"/>
      <c r="E38" s="37"/>
    </row>
    <row r="39" ht="15.75" customHeight="1">
      <c r="A39" s="36"/>
      <c r="D39" s="37"/>
      <c r="E39" s="37"/>
    </row>
    <row r="40" ht="15.75" customHeight="1">
      <c r="A40" s="36"/>
      <c r="D40" s="37"/>
      <c r="E40" s="37"/>
    </row>
    <row r="41" ht="15.75" customHeight="1">
      <c r="A41" s="36"/>
      <c r="D41" s="37"/>
      <c r="E41" s="37"/>
    </row>
    <row r="42" ht="15.75" customHeight="1">
      <c r="A42" s="36"/>
      <c r="D42" s="37"/>
      <c r="E42" s="37"/>
    </row>
    <row r="43" ht="15.75" customHeight="1">
      <c r="A43" s="36"/>
      <c r="D43" s="37"/>
      <c r="E43" s="37"/>
    </row>
    <row r="44" ht="15.75" customHeight="1">
      <c r="A44" s="36"/>
      <c r="D44" s="37"/>
      <c r="E44" s="37"/>
    </row>
    <row r="45" ht="15.75" customHeight="1">
      <c r="A45" s="36"/>
      <c r="D45" s="37"/>
      <c r="E45" s="37"/>
    </row>
    <row r="46" ht="15.75" customHeight="1">
      <c r="A46" s="36"/>
      <c r="D46" s="37"/>
      <c r="E46" s="37"/>
    </row>
    <row r="47" ht="15.75" customHeight="1">
      <c r="A47" s="36"/>
      <c r="D47" s="37"/>
      <c r="E47" s="37"/>
    </row>
    <row r="48" ht="15.75" customHeight="1">
      <c r="A48" s="36"/>
      <c r="D48" s="37"/>
      <c r="E48" s="37"/>
    </row>
    <row r="49" ht="15.75" customHeight="1">
      <c r="A49" s="36"/>
      <c r="D49" s="37"/>
      <c r="E49" s="37"/>
    </row>
    <row r="50" ht="15.75" customHeight="1">
      <c r="A50" s="36"/>
      <c r="D50" s="37"/>
      <c r="E50" s="37"/>
    </row>
    <row r="51" ht="15.75" customHeight="1">
      <c r="A51" s="36"/>
      <c r="D51" s="37"/>
      <c r="E51" s="37"/>
    </row>
    <row r="52" ht="15.75" customHeight="1">
      <c r="A52" s="36"/>
      <c r="D52" s="37"/>
      <c r="E52" s="37"/>
    </row>
    <row r="53" ht="15.75" customHeight="1">
      <c r="A53" s="36"/>
      <c r="D53" s="37"/>
      <c r="E53" s="37"/>
    </row>
    <row r="54" ht="15.75" customHeight="1">
      <c r="A54" s="36"/>
      <c r="D54" s="37"/>
      <c r="E54" s="37"/>
    </row>
    <row r="55" ht="15.75" customHeight="1">
      <c r="A55" s="36"/>
      <c r="D55" s="37"/>
      <c r="E55" s="37"/>
    </row>
    <row r="56" ht="15.75" customHeight="1">
      <c r="A56" s="36"/>
      <c r="D56" s="37"/>
      <c r="E56" s="37"/>
    </row>
    <row r="57" ht="15.75" customHeight="1">
      <c r="A57" s="36"/>
      <c r="D57" s="37"/>
      <c r="E57" s="37"/>
    </row>
    <row r="58" ht="15.75" customHeight="1">
      <c r="A58" s="36"/>
      <c r="D58" s="37"/>
      <c r="E58" s="37"/>
    </row>
    <row r="59" ht="15.75" customHeight="1">
      <c r="A59" s="36"/>
      <c r="D59" s="37"/>
      <c r="E59" s="37"/>
    </row>
    <row r="60" ht="15.75" customHeight="1">
      <c r="A60" s="36"/>
      <c r="D60" s="37"/>
      <c r="E60" s="37"/>
    </row>
    <row r="61" ht="15.75" customHeight="1">
      <c r="A61" s="36"/>
      <c r="D61" s="37"/>
      <c r="E61" s="37"/>
    </row>
    <row r="62" ht="15.75" customHeight="1">
      <c r="A62" s="36"/>
      <c r="D62" s="37"/>
      <c r="E62" s="37"/>
    </row>
    <row r="63" ht="15.75" customHeight="1">
      <c r="A63" s="36"/>
      <c r="D63" s="37"/>
      <c r="E63" s="37"/>
    </row>
    <row r="64" ht="15.75" customHeight="1">
      <c r="A64" s="36"/>
      <c r="D64" s="37"/>
      <c r="E64" s="37"/>
    </row>
    <row r="65" ht="15.75" customHeight="1">
      <c r="A65" s="36"/>
      <c r="D65" s="37"/>
      <c r="E65" s="37"/>
    </row>
    <row r="66" ht="15.75" customHeight="1">
      <c r="A66" s="36"/>
      <c r="D66" s="37"/>
      <c r="E66" s="37"/>
    </row>
    <row r="67" ht="15.75" customHeight="1">
      <c r="A67" s="36"/>
      <c r="D67" s="37"/>
      <c r="E67" s="37"/>
    </row>
    <row r="68" ht="15.75" customHeight="1">
      <c r="A68" s="36"/>
      <c r="D68" s="37"/>
      <c r="E68" s="37"/>
    </row>
    <row r="69" ht="15.75" customHeight="1">
      <c r="A69" s="36"/>
      <c r="D69" s="37"/>
      <c r="E69" s="37"/>
    </row>
    <row r="70" ht="15.75" customHeight="1">
      <c r="A70" s="36"/>
      <c r="D70" s="37"/>
      <c r="E70" s="37"/>
    </row>
    <row r="71" ht="15.75" customHeight="1">
      <c r="A71" s="36"/>
      <c r="D71" s="37"/>
      <c r="E71" s="37"/>
    </row>
    <row r="72" ht="15.75" customHeight="1">
      <c r="A72" s="36"/>
      <c r="D72" s="37"/>
      <c r="E72" s="37"/>
    </row>
    <row r="73" ht="15.75" customHeight="1">
      <c r="A73" s="36"/>
      <c r="D73" s="37"/>
      <c r="E73" s="37"/>
    </row>
    <row r="74" ht="15.75" customHeight="1">
      <c r="A74" s="36"/>
      <c r="D74" s="37"/>
      <c r="E74" s="37"/>
    </row>
    <row r="75" ht="15.75" customHeight="1">
      <c r="A75" s="36"/>
      <c r="D75" s="37"/>
      <c r="E75" s="37"/>
    </row>
    <row r="76" ht="15.75" customHeight="1">
      <c r="A76" s="36"/>
      <c r="D76" s="37"/>
      <c r="E76" s="37"/>
    </row>
    <row r="77" ht="15.75" customHeight="1">
      <c r="A77" s="36"/>
      <c r="D77" s="37"/>
      <c r="E77" s="37"/>
    </row>
    <row r="78" ht="15.75" customHeight="1">
      <c r="A78" s="36"/>
      <c r="D78" s="37"/>
      <c r="E78" s="37"/>
    </row>
    <row r="79" ht="15.75" customHeight="1">
      <c r="A79" s="36"/>
      <c r="D79" s="37"/>
      <c r="E79" s="37"/>
    </row>
    <row r="80" ht="15.75" customHeight="1">
      <c r="A80" s="36"/>
      <c r="D80" s="37"/>
      <c r="E80" s="37"/>
    </row>
    <row r="81" ht="15.75" customHeight="1">
      <c r="A81" s="36"/>
      <c r="D81" s="37"/>
      <c r="E81" s="37"/>
    </row>
    <row r="82" ht="15.75" customHeight="1">
      <c r="A82" s="36"/>
      <c r="D82" s="37"/>
      <c r="E82" s="37"/>
    </row>
    <row r="83" ht="15.75" customHeight="1">
      <c r="A83" s="36"/>
      <c r="D83" s="37"/>
      <c r="E83" s="37"/>
    </row>
    <row r="84" ht="15.75" customHeight="1">
      <c r="A84" s="36"/>
      <c r="D84" s="37"/>
      <c r="E84" s="37"/>
    </row>
    <row r="85" ht="15.75" customHeight="1">
      <c r="A85" s="36"/>
      <c r="D85" s="37"/>
      <c r="E85" s="37"/>
    </row>
    <row r="86" ht="15.75" customHeight="1">
      <c r="A86" s="36"/>
      <c r="D86" s="37"/>
      <c r="E86" s="37"/>
    </row>
    <row r="87" ht="15.75" customHeight="1">
      <c r="A87" s="36"/>
      <c r="D87" s="37"/>
      <c r="E87" s="37"/>
    </row>
    <row r="88" ht="15.75" customHeight="1">
      <c r="A88" s="36"/>
      <c r="D88" s="37"/>
      <c r="E88" s="37"/>
    </row>
    <row r="89" ht="15.75" customHeight="1">
      <c r="A89" s="36"/>
      <c r="D89" s="37"/>
      <c r="E89" s="37"/>
    </row>
    <row r="90" ht="15.75" customHeight="1">
      <c r="A90" s="36"/>
      <c r="D90" s="37"/>
      <c r="E90" s="37"/>
    </row>
    <row r="91" ht="15.75" customHeight="1">
      <c r="A91" s="36"/>
      <c r="D91" s="37"/>
      <c r="E91" s="37"/>
    </row>
    <row r="92" ht="15.75" customHeight="1">
      <c r="A92" s="36"/>
      <c r="D92" s="37"/>
      <c r="E92" s="37"/>
    </row>
    <row r="93" ht="15.75" customHeight="1">
      <c r="A93" s="36"/>
      <c r="D93" s="37"/>
      <c r="E93" s="37"/>
    </row>
    <row r="94" ht="15.75" customHeight="1">
      <c r="A94" s="36"/>
      <c r="D94" s="37"/>
      <c r="E94" s="37"/>
    </row>
    <row r="95" ht="15.75" customHeight="1">
      <c r="A95" s="36"/>
      <c r="D95" s="37"/>
      <c r="E95" s="37"/>
    </row>
    <row r="96" ht="15.75" customHeight="1">
      <c r="A96" s="36"/>
      <c r="D96" s="37"/>
      <c r="E96" s="37"/>
    </row>
    <row r="97" ht="15.75" customHeight="1">
      <c r="A97" s="36"/>
      <c r="D97" s="37"/>
      <c r="E97" s="37"/>
    </row>
    <row r="98" ht="15.75" customHeight="1">
      <c r="A98" s="36"/>
      <c r="D98" s="37"/>
      <c r="E98" s="37"/>
    </row>
    <row r="99" ht="15.75" customHeight="1">
      <c r="A99" s="36"/>
      <c r="D99" s="37"/>
      <c r="E99" s="37"/>
    </row>
    <row r="100" ht="15.75" customHeight="1">
      <c r="A100" s="36"/>
      <c r="D100" s="37"/>
      <c r="E100" s="37"/>
    </row>
    <row r="101" ht="15.75" customHeight="1">
      <c r="A101" s="36"/>
      <c r="D101" s="37"/>
      <c r="E101" s="37"/>
    </row>
    <row r="102" ht="15.75" customHeight="1">
      <c r="A102" s="36"/>
      <c r="D102" s="37"/>
      <c r="E102" s="37"/>
    </row>
    <row r="103" ht="15.75" customHeight="1">
      <c r="A103" s="36"/>
      <c r="D103" s="37"/>
      <c r="E103" s="37"/>
    </row>
    <row r="104" ht="15.75" customHeight="1">
      <c r="A104" s="36"/>
      <c r="D104" s="37"/>
      <c r="E104" s="37"/>
    </row>
    <row r="105" ht="15.75" customHeight="1">
      <c r="A105" s="36"/>
      <c r="D105" s="37"/>
      <c r="E105" s="37"/>
    </row>
    <row r="106" ht="15.75" customHeight="1">
      <c r="A106" s="36"/>
      <c r="D106" s="37"/>
      <c r="E106" s="37"/>
    </row>
    <row r="107" ht="15.75" customHeight="1">
      <c r="A107" s="36"/>
      <c r="D107" s="37"/>
      <c r="E107" s="37"/>
    </row>
    <row r="108" ht="15.75" customHeight="1">
      <c r="A108" s="36"/>
      <c r="D108" s="37"/>
      <c r="E108" s="37"/>
    </row>
    <row r="109" ht="15.75" customHeight="1">
      <c r="A109" s="36"/>
      <c r="D109" s="37"/>
      <c r="E109" s="37"/>
    </row>
    <row r="110" ht="15.75" customHeight="1">
      <c r="A110" s="36"/>
      <c r="D110" s="37"/>
      <c r="E110" s="37"/>
    </row>
    <row r="111" ht="15.75" customHeight="1">
      <c r="A111" s="36"/>
      <c r="D111" s="37"/>
      <c r="E111" s="37"/>
    </row>
    <row r="112" ht="15.75" customHeight="1">
      <c r="A112" s="36"/>
      <c r="D112" s="37"/>
      <c r="E112" s="37"/>
    </row>
    <row r="113" ht="15.75" customHeight="1">
      <c r="A113" s="36"/>
      <c r="D113" s="37"/>
      <c r="E113" s="37"/>
    </row>
    <row r="114" ht="15.75" customHeight="1">
      <c r="A114" s="36"/>
      <c r="D114" s="37"/>
      <c r="E114" s="37"/>
    </row>
    <row r="115" ht="15.75" customHeight="1">
      <c r="A115" s="36"/>
      <c r="D115" s="37"/>
      <c r="E115" s="37"/>
    </row>
    <row r="116" ht="15.75" customHeight="1">
      <c r="A116" s="36"/>
      <c r="D116" s="37"/>
      <c r="E116" s="37"/>
    </row>
    <row r="117" ht="15.75" customHeight="1">
      <c r="A117" s="36"/>
      <c r="D117" s="37"/>
      <c r="E117" s="37"/>
    </row>
    <row r="118" ht="15.75" customHeight="1">
      <c r="A118" s="36"/>
      <c r="D118" s="37"/>
      <c r="E118" s="37"/>
    </row>
    <row r="119" ht="15.75" customHeight="1">
      <c r="A119" s="36"/>
      <c r="D119" s="37"/>
      <c r="E119" s="37"/>
    </row>
    <row r="120" ht="15.75" customHeight="1">
      <c r="A120" s="36"/>
      <c r="D120" s="37"/>
      <c r="E120" s="37"/>
    </row>
    <row r="121" ht="15.75" customHeight="1">
      <c r="A121" s="36"/>
      <c r="D121" s="37"/>
      <c r="E121" s="37"/>
    </row>
    <row r="122" ht="15.75" customHeight="1">
      <c r="A122" s="36"/>
      <c r="D122" s="37"/>
      <c r="E122" s="37"/>
    </row>
    <row r="123" ht="15.75" customHeight="1">
      <c r="A123" s="36"/>
      <c r="D123" s="37"/>
      <c r="E123" s="37"/>
    </row>
    <row r="124" ht="15.75" customHeight="1">
      <c r="A124" s="36"/>
      <c r="D124" s="37"/>
      <c r="E124" s="37"/>
    </row>
    <row r="125" ht="15.75" customHeight="1">
      <c r="A125" s="36"/>
      <c r="D125" s="37"/>
      <c r="E125" s="37"/>
    </row>
    <row r="126" ht="15.75" customHeight="1">
      <c r="A126" s="36"/>
      <c r="D126" s="37"/>
      <c r="E126" s="37"/>
    </row>
    <row r="127" ht="15.75" customHeight="1">
      <c r="A127" s="36"/>
      <c r="D127" s="37"/>
      <c r="E127" s="37"/>
    </row>
    <row r="128" ht="15.75" customHeight="1">
      <c r="A128" s="36"/>
      <c r="D128" s="37"/>
      <c r="E128" s="37"/>
    </row>
    <row r="129" ht="15.75" customHeight="1">
      <c r="A129" s="36"/>
      <c r="D129" s="37"/>
      <c r="E129" s="37"/>
    </row>
    <row r="130" ht="15.75" customHeight="1">
      <c r="A130" s="36"/>
      <c r="D130" s="37"/>
      <c r="E130" s="37"/>
    </row>
    <row r="131" ht="15.75" customHeight="1">
      <c r="A131" s="36"/>
      <c r="D131" s="37"/>
      <c r="E131" s="37"/>
    </row>
    <row r="132" ht="15.75" customHeight="1">
      <c r="A132" s="36"/>
      <c r="D132" s="37"/>
      <c r="E132" s="37"/>
    </row>
    <row r="133" ht="15.75" customHeight="1">
      <c r="A133" s="36"/>
      <c r="D133" s="37"/>
      <c r="E133" s="37"/>
    </row>
    <row r="134" ht="15.75" customHeight="1">
      <c r="A134" s="36"/>
      <c r="D134" s="37"/>
      <c r="E134" s="37"/>
    </row>
    <row r="135" ht="15.75" customHeight="1">
      <c r="A135" s="36"/>
      <c r="D135" s="37"/>
      <c r="E135" s="37"/>
    </row>
    <row r="136" ht="15.75" customHeight="1">
      <c r="A136" s="36"/>
      <c r="D136" s="37"/>
      <c r="E136" s="37"/>
    </row>
    <row r="137" ht="15.75" customHeight="1">
      <c r="A137" s="36"/>
      <c r="D137" s="37"/>
      <c r="E137" s="37"/>
    </row>
    <row r="138" ht="15.75" customHeight="1">
      <c r="A138" s="36"/>
      <c r="D138" s="37"/>
      <c r="E138" s="37"/>
    </row>
    <row r="139" ht="15.75" customHeight="1">
      <c r="A139" s="36"/>
      <c r="D139" s="37"/>
      <c r="E139" s="37"/>
    </row>
    <row r="140" ht="15.75" customHeight="1">
      <c r="A140" s="36"/>
      <c r="D140" s="37"/>
      <c r="E140" s="37"/>
    </row>
    <row r="141" ht="15.75" customHeight="1">
      <c r="A141" s="36"/>
      <c r="D141" s="37"/>
      <c r="E141" s="37"/>
    </row>
    <row r="142" ht="15.75" customHeight="1">
      <c r="A142" s="36"/>
      <c r="D142" s="37"/>
      <c r="E142" s="37"/>
    </row>
    <row r="143" ht="15.75" customHeight="1">
      <c r="A143" s="36"/>
      <c r="D143" s="37"/>
      <c r="E143" s="37"/>
    </row>
    <row r="144" ht="15.75" customHeight="1">
      <c r="A144" s="36"/>
      <c r="D144" s="37"/>
      <c r="E144" s="37"/>
    </row>
    <row r="145" ht="15.75" customHeight="1">
      <c r="A145" s="36"/>
      <c r="D145" s="37"/>
      <c r="E145" s="37"/>
    </row>
    <row r="146" ht="15.75" customHeight="1">
      <c r="A146" s="36"/>
      <c r="D146" s="37"/>
      <c r="E146" s="37"/>
    </row>
    <row r="147" ht="15.75" customHeight="1">
      <c r="A147" s="36"/>
      <c r="D147" s="37"/>
      <c r="E147" s="37"/>
    </row>
    <row r="148" ht="15.75" customHeight="1">
      <c r="A148" s="36"/>
      <c r="D148" s="37"/>
      <c r="E148" s="37"/>
    </row>
    <row r="149" ht="15.75" customHeight="1">
      <c r="A149" s="36"/>
      <c r="D149" s="37"/>
      <c r="E149" s="37"/>
    </row>
    <row r="150" ht="15.75" customHeight="1">
      <c r="A150" s="36"/>
      <c r="D150" s="37"/>
      <c r="E150" s="37"/>
    </row>
    <row r="151" ht="15.75" customHeight="1">
      <c r="A151" s="36"/>
      <c r="D151" s="37"/>
      <c r="E151" s="37"/>
    </row>
    <row r="152" ht="15.75" customHeight="1">
      <c r="A152" s="36"/>
      <c r="D152" s="37"/>
      <c r="E152" s="37"/>
    </row>
    <row r="153" ht="15.75" customHeight="1">
      <c r="A153" s="36"/>
      <c r="D153" s="37"/>
      <c r="E153" s="37"/>
    </row>
    <row r="154" ht="15.75" customHeight="1">
      <c r="A154" s="36"/>
      <c r="D154" s="37"/>
      <c r="E154" s="37"/>
    </row>
    <row r="155" ht="15.75" customHeight="1">
      <c r="A155" s="36"/>
      <c r="D155" s="37"/>
      <c r="E155" s="37"/>
    </row>
    <row r="156" ht="15.75" customHeight="1">
      <c r="A156" s="36"/>
      <c r="D156" s="37"/>
      <c r="E156" s="37"/>
    </row>
    <row r="157" ht="15.75" customHeight="1">
      <c r="A157" s="36"/>
      <c r="D157" s="37"/>
      <c r="E157" s="37"/>
    </row>
    <row r="158" ht="15.75" customHeight="1">
      <c r="A158" s="36"/>
      <c r="D158" s="37"/>
      <c r="E158" s="37"/>
    </row>
    <row r="159" ht="15.75" customHeight="1">
      <c r="A159" s="36"/>
      <c r="D159" s="37"/>
      <c r="E159" s="37"/>
    </row>
    <row r="160" ht="15.75" customHeight="1">
      <c r="A160" s="36"/>
      <c r="D160" s="37"/>
      <c r="E160" s="37"/>
    </row>
    <row r="161" ht="15.75" customHeight="1">
      <c r="A161" s="36"/>
      <c r="D161" s="37"/>
      <c r="E161" s="37"/>
    </row>
    <row r="162" ht="15.75" customHeight="1">
      <c r="A162" s="36"/>
      <c r="D162" s="37"/>
      <c r="E162" s="37"/>
    </row>
    <row r="163" ht="15.75" customHeight="1">
      <c r="A163" s="36"/>
      <c r="D163" s="37"/>
      <c r="E163" s="37"/>
    </row>
    <row r="164" ht="15.75" customHeight="1">
      <c r="A164" s="36"/>
      <c r="D164" s="37"/>
      <c r="E164" s="37"/>
    </row>
    <row r="165" ht="15.75" customHeight="1">
      <c r="A165" s="36"/>
      <c r="D165" s="37"/>
      <c r="E165" s="37"/>
    </row>
    <row r="166" ht="15.75" customHeight="1">
      <c r="A166" s="36"/>
      <c r="D166" s="37"/>
      <c r="E166" s="37"/>
    </row>
    <row r="167" ht="15.75" customHeight="1">
      <c r="A167" s="36"/>
      <c r="D167" s="37"/>
      <c r="E167" s="37"/>
    </row>
    <row r="168" ht="15.75" customHeight="1">
      <c r="A168" s="36"/>
      <c r="D168" s="37"/>
      <c r="E168" s="37"/>
    </row>
    <row r="169" ht="15.75" customHeight="1">
      <c r="A169" s="36"/>
      <c r="D169" s="37"/>
      <c r="E169" s="37"/>
    </row>
    <row r="170" ht="15.75" customHeight="1">
      <c r="A170" s="36"/>
      <c r="D170" s="37"/>
      <c r="E170" s="37"/>
    </row>
    <row r="171" ht="15.75" customHeight="1">
      <c r="A171" s="36"/>
      <c r="D171" s="37"/>
      <c r="E171" s="37"/>
    </row>
    <row r="172" ht="15.75" customHeight="1">
      <c r="A172" s="36"/>
      <c r="D172" s="37"/>
      <c r="E172" s="37"/>
    </row>
    <row r="173" ht="15.75" customHeight="1">
      <c r="A173" s="36"/>
      <c r="D173" s="37"/>
      <c r="E173" s="37"/>
    </row>
    <row r="174" ht="15.75" customHeight="1">
      <c r="A174" s="36"/>
      <c r="D174" s="37"/>
      <c r="E174" s="37"/>
    </row>
    <row r="175" ht="15.75" customHeight="1">
      <c r="A175" s="36"/>
      <c r="D175" s="37"/>
      <c r="E175" s="37"/>
    </row>
    <row r="176" ht="15.75" customHeight="1">
      <c r="A176" s="36"/>
      <c r="D176" s="37"/>
      <c r="E176" s="37"/>
    </row>
    <row r="177" ht="15.75" customHeight="1">
      <c r="A177" s="36"/>
      <c r="D177" s="37"/>
      <c r="E177" s="37"/>
    </row>
    <row r="178" ht="15.75" customHeight="1">
      <c r="A178" s="36"/>
      <c r="D178" s="37"/>
      <c r="E178" s="37"/>
    </row>
    <row r="179" ht="15.75" customHeight="1">
      <c r="A179" s="36"/>
      <c r="D179" s="37"/>
      <c r="E179" s="37"/>
    </row>
    <row r="180" ht="15.75" customHeight="1">
      <c r="A180" s="36"/>
      <c r="D180" s="37"/>
      <c r="E180" s="37"/>
    </row>
    <row r="181" ht="15.75" customHeight="1">
      <c r="A181" s="36"/>
      <c r="D181" s="37"/>
      <c r="E181" s="37"/>
    </row>
    <row r="182" ht="15.75" customHeight="1">
      <c r="A182" s="36"/>
      <c r="D182" s="37"/>
      <c r="E182" s="37"/>
    </row>
    <row r="183" ht="15.75" customHeight="1">
      <c r="A183" s="36"/>
      <c r="D183" s="37"/>
      <c r="E183" s="37"/>
    </row>
    <row r="184" ht="15.75" customHeight="1">
      <c r="A184" s="36"/>
      <c r="D184" s="37"/>
      <c r="E184" s="37"/>
    </row>
    <row r="185" ht="15.75" customHeight="1">
      <c r="A185" s="36"/>
      <c r="D185" s="37"/>
      <c r="E185" s="37"/>
    </row>
    <row r="186" ht="15.75" customHeight="1">
      <c r="A186" s="36"/>
      <c r="D186" s="37"/>
      <c r="E186" s="37"/>
    </row>
    <row r="187" ht="15.75" customHeight="1">
      <c r="A187" s="36"/>
      <c r="D187" s="37"/>
      <c r="E187" s="37"/>
    </row>
    <row r="188" ht="15.75" customHeight="1">
      <c r="A188" s="36"/>
      <c r="D188" s="37"/>
      <c r="E188" s="37"/>
    </row>
    <row r="189" ht="15.75" customHeight="1">
      <c r="A189" s="36"/>
      <c r="D189" s="37"/>
      <c r="E189" s="37"/>
    </row>
    <row r="190" ht="15.75" customHeight="1">
      <c r="A190" s="36"/>
      <c r="D190" s="37"/>
      <c r="E190" s="37"/>
    </row>
    <row r="191" ht="15.75" customHeight="1">
      <c r="A191" s="36"/>
      <c r="D191" s="37"/>
      <c r="E191" s="37"/>
    </row>
    <row r="192" ht="15.75" customHeight="1">
      <c r="A192" s="36"/>
      <c r="D192" s="37"/>
      <c r="E192" s="37"/>
    </row>
    <row r="193" ht="15.75" customHeight="1">
      <c r="A193" s="36"/>
      <c r="D193" s="37"/>
      <c r="E193" s="37"/>
    </row>
    <row r="194" ht="15.75" customHeight="1">
      <c r="A194" s="36"/>
      <c r="D194" s="37"/>
      <c r="E194" s="37"/>
    </row>
    <row r="195" ht="15.75" customHeight="1">
      <c r="A195" s="36"/>
      <c r="D195" s="37"/>
      <c r="E195" s="37"/>
    </row>
    <row r="196" ht="15.75" customHeight="1">
      <c r="A196" s="36"/>
      <c r="D196" s="37"/>
      <c r="E196" s="37"/>
    </row>
    <row r="197" ht="15.75" customHeight="1">
      <c r="A197" s="36"/>
      <c r="D197" s="37"/>
      <c r="E197" s="37"/>
    </row>
    <row r="198" ht="15.75" customHeight="1">
      <c r="A198" s="36"/>
      <c r="D198" s="37"/>
      <c r="E198" s="37"/>
    </row>
    <row r="199" ht="15.75" customHeight="1">
      <c r="A199" s="36"/>
      <c r="D199" s="37"/>
      <c r="E199" s="37"/>
    </row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conditionalFormatting sqref="E5">
    <cfRule type="notContainsBlanks" dxfId="2" priority="1">
      <formula>LEN(TRIM(E5))&gt;0</formula>
    </cfRule>
  </conditionalFormatting>
  <printOptions/>
  <pageMargins bottom="1.0" footer="0.0" header="0.0" left="0.75" right="0.75" top="1.0"/>
  <pageSetup paperSize="9" orientation="landscape"/>
  <drawing r:id="rId1"/>
</worksheet>
</file>